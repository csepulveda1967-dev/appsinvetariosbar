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Lotes_FIFO" sheetId="3" state="visible" r:id="rId3"/>
    <sheet xmlns:r="http://schemas.openxmlformats.org/officeDocument/2006/relationships" name="Movimientos" sheetId="4" state="visible" r:id="rId4"/>
    <sheet xmlns:r="http://schemas.openxmlformats.org/officeDocument/2006/relationships" name="Recetas" sheetId="5" state="visible" r:id="rId5"/>
    <sheet xmlns:r="http://schemas.openxmlformats.org/officeDocument/2006/relationships" name="Ingredientes_Receta" sheetId="6" state="visible" r:id="rId6"/>
    <sheet xmlns:r="http://schemas.openxmlformats.org/officeDocument/2006/relationships" name="Produccion" sheetId="7" state="visible" r:id="rId7"/>
    <sheet xmlns:r="http://schemas.openxmlformats.org/officeDocument/2006/relationships" name="Mermas" sheetId="8" state="visible" r:id="rId8"/>
    <sheet xmlns:r="http://schemas.openxmlformats.org/officeDocument/2006/relationships" name="Ventas_Bar" sheetId="9" state="visible" r:id="rId9"/>
    <sheet xmlns:r="http://schemas.openxmlformats.org/officeDocument/2006/relationships" name="Solicitudes" sheetId="10" state="visible" r:id="rId10"/>
    <sheet xmlns:r="http://schemas.openxmlformats.org/officeDocument/2006/relationships" name="Stock_Actual" sheetId="11" state="visible" r:id="rId11"/>
    <sheet xmlns:r="http://schemas.openxmlformats.org/officeDocument/2006/relationships" name="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30271D"/>
      <sz val="20"/>
    </font>
    <font>
      <name val="Arial"/>
      <b val="1"/>
      <sz val="13"/>
    </font>
    <font>
      <name val="Arial"/>
      <b val="1"/>
      <color rgb="00FFFFFF"/>
    </font>
    <font>
      <name val="Arial"/>
      <b val="1"/>
      <color rgb="0030271D"/>
      <sz val="18"/>
    </font>
    <font>
      <name val="Arial"/>
      <b val="1"/>
    </font>
    <font>
      <name val="Arial"/>
      <color theme="1"/>
      <sz val="11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0271D"/>
      </patternFill>
    </fill>
    <fill>
      <patternFill patternType="solid">
        <fgColor rgb="00FFF2CC"/>
      </patternFill>
    </fill>
    <fill>
      <patternFill patternType="solid">
        <fgColor rgb="00EFE4CE"/>
      </patternFill>
    </fill>
  </fills>
  <borders count="2">
    <border>
      <left/>
      <right/>
      <top/>
      <bottom/>
      <diagonal/>
    </border>
    <border>
      <left style="thin">
        <color rgb="00DED2BF"/>
      </left>
      <right style="thin">
        <color rgb="00DED2BF"/>
      </right>
      <top style="thin">
        <color rgb="00DED2BF"/>
      </top>
      <bottom style="thin">
        <color rgb="00DED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ProductosTbl" displayName="ProductosTbl" ref="A1:H7" headerRowCount="1">
  <autoFilter ref="A1:H7"/>
  <tableColumns count="8">
    <tableColumn id="1" name="Codigo"/>
    <tableColumn id="2" name="Producto"/>
    <tableColumn id="3" name="Area"/>
    <tableColumn id="4" name="Categoria"/>
    <tableColumn id="5" name="Unidad"/>
    <tableColumn id="6" name="Stock_Minimo"/>
    <tableColumn id="7" name="Proveedor"/>
    <tableColumn id="8" name="Estado"/>
  </tableColumns>
  <tableStyleInfo name="TableStyleMedium2" showRowStripes="1"/>
</table>
</file>

<file path=xl/tables/table2.xml><?xml version="1.0" encoding="utf-8"?>
<table xmlns="http://schemas.openxmlformats.org/spreadsheetml/2006/main" id="2" name="LotesFIFOTbl" displayName="LotesFIFOTbl" ref="A1:G6" headerRowCount="1">
  <autoFilter ref="A1:G6"/>
  <tableColumns count="7">
    <tableColumn id="1" name="Lote"/>
    <tableColumn id="2" name="Codigo_Producto"/>
    <tableColumn id="3" name="Bodega"/>
    <tableColumn id="4" name="Cantidad_Inicial"/>
    <tableColumn id="5" name="Costo_Unitario"/>
    <tableColumn id="6" name="Vencimiento"/>
    <tableColumn id="7" name="Observacion"/>
  </tableColumns>
  <tableStyleInfo name="TableStyleMedium2" showRowStripes="1"/>
</table>
</file>

<file path=xl/tables/table3.xml><?xml version="1.0" encoding="utf-8"?>
<table xmlns="http://schemas.openxmlformats.org/spreadsheetml/2006/main" id="3" name="MovimientosTbl" displayName="MovimientosTbl" ref="A1:H6" headerRowCount="1">
  <autoFilter ref="A1:H6"/>
  <tableColumns count="8">
    <tableColumn id="1" name="ID"/>
    <tableColumn id="2" name="Fecha"/>
    <tableColumn id="3" name="Tipo"/>
    <tableColumn id="4" name="Codigo_Producto"/>
    <tableColumn id="5" name="Bodega"/>
    <tableColumn id="6" name="Cantidad"/>
    <tableColumn id="7" name="Costo_Unitario"/>
    <tableColumn id="8" name="Observacion"/>
  </tableColumns>
  <tableStyleInfo name="TableStyleMedium2" showRowStripes="1"/>
</table>
</file>

<file path=xl/tables/table4.xml><?xml version="1.0" encoding="utf-8"?>
<table xmlns="http://schemas.openxmlformats.org/spreadsheetml/2006/main" id="4" name="RecetasTbl" displayName="RecetasTbl" ref="A1:E3" headerRowCount="1">
  <autoFilter ref="A1:E3"/>
  <tableColumns count="5">
    <tableColumn id="1" name="Codigo_Receta"/>
    <tableColumn id="2" name="Nombre_Receta"/>
    <tableColumn id="3" name="Tipo"/>
    <tableColumn id="4" name="Rendimiento"/>
    <tableColumn id="5" name="Unidad_Rendimiento"/>
  </tableColumns>
  <tableStyleInfo name="TableStyleMedium2" showRowStripes="1"/>
</table>
</file>

<file path=xl/tables/table5.xml><?xml version="1.0" encoding="utf-8"?>
<table xmlns="http://schemas.openxmlformats.org/spreadsheetml/2006/main" id="5" name="IngredientesRecetaTbl" displayName="IngredientesRecetaTbl" ref="A1:E5" headerRowCount="1">
  <autoFilter ref="A1:E5"/>
  <tableColumns count="5">
    <tableColumn id="1" name="Codigo_Receta"/>
    <tableColumn id="2" name="Codigo_Producto"/>
    <tableColumn id="3" name="Cantidad"/>
    <tableColumn id="4" name="Unidad"/>
    <tableColumn id="5" name="Bodega_Consumo"/>
  </tableColumns>
  <tableStyleInfo name="TableStyleMedium2" showRowStripes="1"/>
</table>
</file>

<file path=xl/tables/table6.xml><?xml version="1.0" encoding="utf-8"?>
<table xmlns="http://schemas.openxmlformats.org/spreadsheetml/2006/main" id="6" name="ProduccionTbl" displayName="ProduccionTbl" ref="A1:F2" headerRowCount="1">
  <autoFilter ref="A1:F2"/>
  <tableColumns count="6">
    <tableColumn id="1" name="ID"/>
    <tableColumn id="2" name="Fecha"/>
    <tableColumn id="3" name="Codigo_Receta"/>
    <tableColumn id="4" name="Cantidad_Producida"/>
    <tableColumn id="5" name="Producto_Final"/>
    <tableColumn id="6" name="Observacion"/>
  </tableColumns>
  <tableStyleInfo name="TableStyleMedium2" showRowStripes="1"/>
</table>
</file>

<file path=xl/tables/table7.xml><?xml version="1.0" encoding="utf-8"?>
<table xmlns="http://schemas.openxmlformats.org/spreadsheetml/2006/main" id="7" name="MermasTbl" displayName="MermasTbl" ref="A1:G2" headerRowCount="1">
  <autoFilter ref="A1:G2"/>
  <tableColumns count="7">
    <tableColumn id="1" name="ID"/>
    <tableColumn id="2" name="Fecha"/>
    <tableColumn id="3" name="Codigo_Producto"/>
    <tableColumn id="4" name="Bodega"/>
    <tableColumn id="5" name="Cantidad"/>
    <tableColumn id="6" name="Motivo"/>
    <tableColumn id="7" name="Observacion"/>
  </tableColumns>
  <tableStyleInfo name="TableStyleMedium2" showRowStripes="1"/>
</table>
</file>

<file path=xl/tables/table8.xml><?xml version="1.0" encoding="utf-8"?>
<table xmlns="http://schemas.openxmlformats.org/spreadsheetml/2006/main" id="8" name="VentasBarTbl" displayName="VentasBarTbl" ref="A1:E2" headerRowCount="1">
  <autoFilter ref="A1:E2"/>
  <tableColumns count="5">
    <tableColumn id="1" name="ID"/>
    <tableColumn id="2" name="Fecha"/>
    <tableColumn id="3" name="Codigo_Receta"/>
    <tableColumn id="4" name="Cantidad_Vendida"/>
    <tableColumn id="5" name="Referencia"/>
  </tableColumns>
  <tableStyleInfo name="TableStyleMedium2" showRowStripes="1"/>
</table>
</file>

<file path=xl/tables/table9.xml><?xml version="1.0" encoding="utf-8"?>
<table xmlns="http://schemas.openxmlformats.org/spreadsheetml/2006/main" id="9" name="SolicitudesTbl" displayName="SolicitudesTbl" ref="A1:H2" headerRowCount="1">
  <autoFilter ref="A1:H2"/>
  <tableColumns count="8">
    <tableColumn id="1" name="ID"/>
    <tableColumn id="2" name="Fecha"/>
    <tableColumn id="3" name="Area"/>
    <tableColumn id="4" name="Codigo_Producto"/>
    <tableColumn id="5" name="Cantidad_Solicitada"/>
    <tableColumn id="6" name="Prioridad"/>
    <tableColumn id="7" name="Motivo"/>
    <tableColumn id="8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Sistema de Inventario Cocina y Bar</t>
        </is>
      </c>
    </row>
    <row r="2">
      <c r="A2" s="2" t="n"/>
    </row>
    <row r="3">
      <c r="A3" s="3" t="inlineStr">
        <is>
          <t>Uso del archivo</t>
        </is>
      </c>
    </row>
    <row r="4">
      <c r="A4" s="2" t="n"/>
    </row>
    <row r="5">
      <c r="A5" s="2" t="inlineStr">
        <is>
          <t>1. Cargar productos en la hoja Productos.</t>
        </is>
      </c>
    </row>
    <row r="6">
      <c r="A6" s="2" t="inlineStr">
        <is>
          <t>2. Registrar ingresos por lote en Lotes_FIFO.</t>
        </is>
      </c>
    </row>
    <row r="7">
      <c r="A7" s="2" t="inlineStr">
        <is>
          <t>3. Registrar todos los ingresos, salidas, mermas, producción, ventas y traspasos en Movimientos.</t>
        </is>
      </c>
    </row>
    <row r="8">
      <c r="A8" s="2" t="inlineStr">
        <is>
          <t>4. Definir recetas e ingredientes para cocina y bar.</t>
        </is>
      </c>
    </row>
    <row r="9">
      <c r="A9" s="2" t="inlineStr">
        <is>
          <t>5. Revisar Stock_Actual y Dashboard para alertas de mínimos.</t>
        </is>
      </c>
    </row>
    <row r="10">
      <c r="A10" s="2" t="inlineStr">
        <is>
          <t>6. Crear solicitudes a bodega central en Solicitudes.</t>
        </is>
      </c>
    </row>
    <row r="11">
      <c r="A11" s="2" t="inlineStr">
        <is>
          <t>Celdas amarillas son datos editables. Las hojas de stock y dashboard contienen fórmulas.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10" customWidth="1" min="5" max="5"/>
    <col width="14" customWidth="1" min="6" max="6"/>
    <col width="22" customWidth="1" min="7" max="7"/>
    <col width="12" customWidth="1" min="8" max="8"/>
  </cols>
  <sheetData>
    <row r="1">
      <c r="A1" s="4" t="inlineStr">
        <is>
          <t>Codigo</t>
        </is>
      </c>
      <c r="B1" s="4" t="inlineStr">
        <is>
          <t>Producto</t>
        </is>
      </c>
      <c r="C1" s="4" t="inlineStr">
        <is>
          <t>Area</t>
        </is>
      </c>
      <c r="D1" s="4" t="inlineStr">
        <is>
          <t>Categoria</t>
        </is>
      </c>
      <c r="E1" s="4" t="inlineStr">
        <is>
          <t>Unidad</t>
        </is>
      </c>
      <c r="F1" s="4" t="inlineStr">
        <is>
          <t>Stock_Minimo</t>
        </is>
      </c>
      <c r="G1" s="4" t="inlineStr">
        <is>
          <t>Proveedor</t>
        </is>
      </c>
      <c r="H1" s="4" t="inlineStr">
        <is>
          <t>Estado</t>
        </is>
      </c>
    </row>
    <row r="2">
      <c r="A2" s="5" t="inlineStr">
        <is>
          <t>P001</t>
        </is>
      </c>
      <c r="B2" s="5" t="inlineStr">
        <is>
          <t>Tomate pera</t>
        </is>
      </c>
      <c r="C2" s="5" t="inlineStr">
        <is>
          <t>Cocina</t>
        </is>
      </c>
      <c r="D2" s="5" t="inlineStr">
        <is>
          <t>Verduras</t>
        </is>
      </c>
      <c r="E2" s="5" t="inlineStr">
        <is>
          <t>kg</t>
        </is>
      </c>
      <c r="F2" s="5" t="n">
        <v>8</v>
      </c>
      <c r="G2" s="5" t="inlineStr">
        <is>
          <t>Bodega central</t>
        </is>
      </c>
      <c r="H2" s="5" t="inlineStr">
        <is>
          <t>Activo</t>
        </is>
      </c>
    </row>
    <row r="3">
      <c r="A3" s="5" t="inlineStr">
        <is>
          <t>P002</t>
        </is>
      </c>
      <c r="B3" s="5" t="inlineStr">
        <is>
          <t>Carne molida</t>
        </is>
      </c>
      <c r="C3" s="5" t="inlineStr">
        <is>
          <t>Cocina</t>
        </is>
      </c>
      <c r="D3" s="5" t="inlineStr">
        <is>
          <t>Carnes</t>
        </is>
      </c>
      <c r="E3" s="5" t="inlineStr">
        <is>
          <t>kg</t>
        </is>
      </c>
      <c r="F3" s="5" t="n">
        <v>5</v>
      </c>
      <c r="G3" s="5" t="inlineStr">
        <is>
          <t>Bodega central</t>
        </is>
      </c>
      <c r="H3" s="5" t="inlineStr">
        <is>
          <t>Activo</t>
        </is>
      </c>
    </row>
    <row r="4">
      <c r="A4" s="5" t="inlineStr">
        <is>
          <t>P003</t>
        </is>
      </c>
      <c r="B4" s="5" t="inlineStr">
        <is>
          <t>Salsa pomodoro producida</t>
        </is>
      </c>
      <c r="C4" s="5" t="inlineStr">
        <is>
          <t>Cocina</t>
        </is>
      </c>
      <c r="D4" s="5" t="inlineStr">
        <is>
          <t>Producción</t>
        </is>
      </c>
      <c r="E4" s="5" t="inlineStr">
        <is>
          <t>lt</t>
        </is>
      </c>
      <c r="F4" s="5" t="n">
        <v>3</v>
      </c>
      <c r="G4" s="5" t="inlineStr">
        <is>
          <t>Producción cocina</t>
        </is>
      </c>
      <c r="H4" s="5" t="inlineStr">
        <is>
          <t>Activo</t>
        </is>
      </c>
    </row>
    <row r="5">
      <c r="A5" s="5" t="inlineStr">
        <is>
          <t>P004</t>
        </is>
      </c>
      <c r="B5" s="5" t="inlineStr">
        <is>
          <t>Pisco 35°</t>
        </is>
      </c>
      <c r="C5" s="5" t="inlineStr">
        <is>
          <t>Bar</t>
        </is>
      </c>
      <c r="D5" s="5" t="inlineStr">
        <is>
          <t>Destilados</t>
        </is>
      </c>
      <c r="E5" s="5" t="inlineStr">
        <is>
          <t>ml</t>
        </is>
      </c>
      <c r="F5" s="5" t="n">
        <v>2500</v>
      </c>
      <c r="G5" s="5" t="inlineStr">
        <is>
          <t>Bodega central</t>
        </is>
      </c>
      <c r="H5" s="5" t="inlineStr">
        <is>
          <t>Activo</t>
        </is>
      </c>
    </row>
    <row r="6">
      <c r="A6" s="5" t="inlineStr">
        <is>
          <t>P005</t>
        </is>
      </c>
      <c r="B6" s="5" t="inlineStr">
        <is>
          <t>Jugo de limón</t>
        </is>
      </c>
      <c r="C6" s="5" t="inlineStr">
        <is>
          <t>Bar</t>
        </is>
      </c>
      <c r="D6" s="5" t="inlineStr">
        <is>
          <t>Mixología</t>
        </is>
      </c>
      <c r="E6" s="5" t="inlineStr">
        <is>
          <t>ml</t>
        </is>
      </c>
      <c r="F6" s="5" t="n">
        <v>1500</v>
      </c>
      <c r="G6" s="5" t="inlineStr">
        <is>
          <t>Bodega central</t>
        </is>
      </c>
      <c r="H6" s="5" t="inlineStr">
        <is>
          <t>Activo</t>
        </is>
      </c>
    </row>
    <row r="7">
      <c r="A7" s="5" t="inlineStr">
        <is>
          <t>P006</t>
        </is>
      </c>
      <c r="B7" s="5" t="inlineStr">
        <is>
          <t>Jarabe goma</t>
        </is>
      </c>
      <c r="C7" s="5" t="inlineStr">
        <is>
          <t>Bar</t>
        </is>
      </c>
      <c r="D7" s="5" t="inlineStr">
        <is>
          <t>Mixología</t>
        </is>
      </c>
      <c r="E7" s="5" t="inlineStr">
        <is>
          <t>ml</t>
        </is>
      </c>
      <c r="F7" s="5" t="n">
        <v>1000</v>
      </c>
      <c r="G7" s="5" t="inlineStr">
        <is>
          <t>Bodega central</t>
        </is>
      </c>
      <c r="H7" s="5" t="inlineStr">
        <is>
          <t>Activo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>
      <c r="A1" s="4" t="inlineStr">
        <is>
          <t>Lote</t>
        </is>
      </c>
      <c r="B1" s="4" t="inlineStr">
        <is>
          <t>Codigo_Producto</t>
        </is>
      </c>
      <c r="C1" s="4" t="inlineStr">
        <is>
          <t>Bodega</t>
        </is>
      </c>
      <c r="D1" s="4" t="inlineStr">
        <is>
          <t>Cantidad_Inicial</t>
        </is>
      </c>
      <c r="E1" s="4" t="inlineStr">
        <is>
          <t>Costo_Unitario</t>
        </is>
      </c>
      <c r="F1" s="4" t="inlineStr">
        <is>
          <t>Vencimiento</t>
        </is>
      </c>
      <c r="G1" s="4" t="inlineStr">
        <is>
          <t>Observacion</t>
        </is>
      </c>
    </row>
    <row r="2">
      <c r="A2" s="5" t="inlineStr">
        <is>
          <t>L001</t>
        </is>
      </c>
      <c r="B2" s="5" t="inlineStr">
        <is>
          <t>P001</t>
        </is>
      </c>
      <c r="C2" s="5" t="inlineStr">
        <is>
          <t>Bodega Transitoria Cocina</t>
        </is>
      </c>
      <c r="D2" s="5" t="n">
        <v>12</v>
      </c>
      <c r="E2" s="5" t="n">
        <v>1200</v>
      </c>
      <c r="F2" s="5" t="inlineStr">
        <is>
          <t>2026-10-20</t>
        </is>
      </c>
      <c r="G2" s="5" t="inlineStr">
        <is>
          <t>Ingreso inicial</t>
        </is>
      </c>
    </row>
    <row r="3">
      <c r="A3" s="5" t="inlineStr">
        <is>
          <t>L002</t>
        </is>
      </c>
      <c r="B3" s="5" t="inlineStr">
        <is>
          <t>P002</t>
        </is>
      </c>
      <c r="C3" s="5" t="inlineStr">
        <is>
          <t>Bodega Transitoria Cocina</t>
        </is>
      </c>
      <c r="D3" s="5" t="n">
        <v>7</v>
      </c>
      <c r="E3" s="5" t="n">
        <v>6500</v>
      </c>
      <c r="F3" s="5" t="inlineStr">
        <is>
          <t>2026-10-18</t>
        </is>
      </c>
      <c r="G3" s="5" t="inlineStr">
        <is>
          <t>Ingreso inicial</t>
        </is>
      </c>
    </row>
    <row r="4">
      <c r="A4" s="5" t="inlineStr">
        <is>
          <t>L003</t>
        </is>
      </c>
      <c r="B4" s="5" t="inlineStr">
        <is>
          <t>P004</t>
        </is>
      </c>
      <c r="C4" s="5" t="inlineStr">
        <is>
          <t>Bodega Transitoria Bar</t>
        </is>
      </c>
      <c r="D4" s="5" t="n">
        <v>5000</v>
      </c>
      <c r="E4" s="5" t="n">
        <v>5.8</v>
      </c>
      <c r="F4" s="5" t="inlineStr">
        <is>
          <t>2028-01-01</t>
        </is>
      </c>
      <c r="G4" s="5" t="inlineStr">
        <is>
          <t>Ingreso inicial</t>
        </is>
      </c>
    </row>
    <row r="5">
      <c r="A5" s="5" t="inlineStr">
        <is>
          <t>L004</t>
        </is>
      </c>
      <c r="B5" s="5" t="inlineStr">
        <is>
          <t>P005</t>
        </is>
      </c>
      <c r="C5" s="5" t="inlineStr">
        <is>
          <t>Bodega Transitoria Bar</t>
        </is>
      </c>
      <c r="D5" s="5" t="n">
        <v>2000</v>
      </c>
      <c r="E5" s="5" t="n">
        <v>3.2</v>
      </c>
      <c r="F5" s="5" t="inlineStr">
        <is>
          <t>2026-10-17</t>
        </is>
      </c>
      <c r="G5" s="5" t="inlineStr">
        <is>
          <t>Ingreso inicial</t>
        </is>
      </c>
    </row>
    <row r="6">
      <c r="A6" s="5" t="inlineStr">
        <is>
          <t>L005</t>
        </is>
      </c>
      <c r="B6" s="5" t="inlineStr">
        <is>
          <t>P006</t>
        </is>
      </c>
      <c r="C6" s="5" t="inlineStr">
        <is>
          <t>Bodega Transitoria Bar</t>
        </is>
      </c>
      <c r="D6" s="5" t="n">
        <v>1200</v>
      </c>
      <c r="E6" s="5" t="n">
        <v>2.4</v>
      </c>
      <c r="F6" s="5" t="inlineStr">
        <is>
          <t>2027-03-01</t>
        </is>
      </c>
      <c r="G6" s="5" t="inlineStr">
        <is>
          <t>Ingreso inicial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8" customWidth="1" min="4" max="4"/>
    <col width="28" customWidth="1" min="5" max="5"/>
    <col width="14" customWidth="1" min="6" max="6"/>
    <col width="16" customWidth="1" min="7" max="7"/>
    <col width="35" customWidth="1" min="8" max="8"/>
  </cols>
  <sheetData>
    <row r="1">
      <c r="A1" s="4" t="inlineStr">
        <is>
          <t>ID</t>
        </is>
      </c>
      <c r="B1" s="4" t="inlineStr">
        <is>
          <t>Fecha</t>
        </is>
      </c>
      <c r="C1" s="4" t="inlineStr">
        <is>
          <t>Tipo</t>
        </is>
      </c>
      <c r="D1" s="4" t="inlineStr">
        <is>
          <t>Codigo_Producto</t>
        </is>
      </c>
      <c r="E1" s="4" t="inlineStr">
        <is>
          <t>Bodega</t>
        </is>
      </c>
      <c r="F1" s="4" t="inlineStr">
        <is>
          <t>Cantidad</t>
        </is>
      </c>
      <c r="G1" s="4" t="inlineStr">
        <is>
          <t>Costo_Unitario</t>
        </is>
      </c>
      <c r="H1" s="4" t="inlineStr">
        <is>
          <t>Observacion</t>
        </is>
      </c>
    </row>
    <row r="2">
      <c r="A2" s="5" t="inlineStr">
        <is>
          <t>M001</t>
        </is>
      </c>
      <c r="B2" s="5" t="inlineStr">
        <is>
          <t>2026-10-13</t>
        </is>
      </c>
      <c r="C2" s="5" t="inlineStr">
        <is>
          <t>Ingreso</t>
        </is>
      </c>
      <c r="D2" s="5" t="inlineStr">
        <is>
          <t>P001</t>
        </is>
      </c>
      <c r="E2" s="5" t="inlineStr">
        <is>
          <t>Bodega Transitoria Cocina</t>
        </is>
      </c>
      <c r="F2" s="5" t="n">
        <v>12</v>
      </c>
      <c r="G2" s="5" t="n">
        <v>1200</v>
      </c>
      <c r="H2" s="5" t="inlineStr">
        <is>
          <t>Ingreso inicial</t>
        </is>
      </c>
    </row>
    <row r="3">
      <c r="A3" s="5" t="inlineStr">
        <is>
          <t>M002</t>
        </is>
      </c>
      <c r="B3" s="5" t="inlineStr">
        <is>
          <t>2026-10-13</t>
        </is>
      </c>
      <c r="C3" s="5" t="inlineStr">
        <is>
          <t>Ingreso</t>
        </is>
      </c>
      <c r="D3" s="5" t="inlineStr">
        <is>
          <t>P002</t>
        </is>
      </c>
      <c r="E3" s="5" t="inlineStr">
        <is>
          <t>Bodega Transitoria Cocina</t>
        </is>
      </c>
      <c r="F3" s="5" t="n">
        <v>7</v>
      </c>
      <c r="G3" s="5" t="n">
        <v>6500</v>
      </c>
      <c r="H3" s="5" t="inlineStr">
        <is>
          <t>Ingreso inicial</t>
        </is>
      </c>
    </row>
    <row r="4">
      <c r="A4" s="5" t="inlineStr">
        <is>
          <t>M003</t>
        </is>
      </c>
      <c r="B4" s="5" t="inlineStr">
        <is>
          <t>2026-10-13</t>
        </is>
      </c>
      <c r="C4" s="5" t="inlineStr">
        <is>
          <t>Ingreso</t>
        </is>
      </c>
      <c r="D4" s="5" t="inlineStr">
        <is>
          <t>P004</t>
        </is>
      </c>
      <c r="E4" s="5" t="inlineStr">
        <is>
          <t>Bodega Transitoria Bar</t>
        </is>
      </c>
      <c r="F4" s="5" t="n">
        <v>5000</v>
      </c>
      <c r="G4" s="5" t="n">
        <v>5.8</v>
      </c>
      <c r="H4" s="5" t="inlineStr">
        <is>
          <t>Ingreso inicial</t>
        </is>
      </c>
    </row>
    <row r="5">
      <c r="A5" s="5" t="inlineStr">
        <is>
          <t>M004</t>
        </is>
      </c>
      <c r="B5" s="5" t="inlineStr">
        <is>
          <t>2026-10-13</t>
        </is>
      </c>
      <c r="C5" s="5" t="inlineStr">
        <is>
          <t>Ingreso</t>
        </is>
      </c>
      <c r="D5" s="5" t="inlineStr">
        <is>
          <t>P005</t>
        </is>
      </c>
      <c r="E5" s="5" t="inlineStr">
        <is>
          <t>Bodega Transitoria Bar</t>
        </is>
      </c>
      <c r="F5" s="5" t="n">
        <v>2000</v>
      </c>
      <c r="G5" s="5" t="n">
        <v>3.2</v>
      </c>
      <c r="H5" s="5" t="inlineStr">
        <is>
          <t>Ingreso inicial</t>
        </is>
      </c>
    </row>
    <row r="6">
      <c r="A6" s="5" t="inlineStr">
        <is>
          <t>M005</t>
        </is>
      </c>
      <c r="B6" s="5" t="inlineStr">
        <is>
          <t>2026-10-13</t>
        </is>
      </c>
      <c r="C6" s="5" t="inlineStr">
        <is>
          <t>Ingreso</t>
        </is>
      </c>
      <c r="D6" s="5" t="inlineStr">
        <is>
          <t>P006</t>
        </is>
      </c>
      <c r="E6" s="5" t="inlineStr">
        <is>
          <t>Bodega Transitoria Bar</t>
        </is>
      </c>
      <c r="F6" s="5" t="n">
        <v>1200</v>
      </c>
      <c r="G6" s="5" t="n">
        <v>2.4</v>
      </c>
      <c r="H6" s="5" t="inlineStr">
        <is>
          <t>Ingreso inicial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4" customWidth="1" min="4" max="4"/>
    <col width="18" customWidth="1" min="5" max="5"/>
  </cols>
  <sheetData>
    <row r="1">
      <c r="A1" s="4" t="inlineStr">
        <is>
          <t>Codigo_Receta</t>
        </is>
      </c>
      <c r="B1" s="4" t="inlineStr">
        <is>
          <t>Nombre_Receta</t>
        </is>
      </c>
      <c r="C1" s="4" t="inlineStr">
        <is>
          <t>Tipo</t>
        </is>
      </c>
      <c r="D1" s="4" t="inlineStr">
        <is>
          <t>Rendimiento</t>
        </is>
      </c>
      <c r="E1" s="4" t="inlineStr">
        <is>
          <t>Unidad_Rendimiento</t>
        </is>
      </c>
    </row>
    <row r="2">
      <c r="A2" s="5" t="inlineStr">
        <is>
          <t>R001</t>
        </is>
      </c>
      <c r="B2" s="5" t="inlineStr">
        <is>
          <t>Salsa pomodoro base</t>
        </is>
      </c>
      <c r="C2" s="5" t="inlineStr">
        <is>
          <t>Producción Cocina</t>
        </is>
      </c>
      <c r="D2" s="5" t="n">
        <v>5</v>
      </c>
      <c r="E2" s="5" t="inlineStr">
        <is>
          <t>lt</t>
        </is>
      </c>
    </row>
    <row r="3">
      <c r="A3" s="5" t="inlineStr">
        <is>
          <t>R002</t>
        </is>
      </c>
      <c r="B3" s="5" t="inlineStr">
        <is>
          <t>Pisco sour clásico</t>
        </is>
      </c>
      <c r="C3" s="5" t="inlineStr">
        <is>
          <t>Venta Bar</t>
        </is>
      </c>
      <c r="D3" s="5" t="n">
        <v>1</v>
      </c>
      <c r="E3" s="5" t="inlineStr">
        <is>
          <t>copa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28" customWidth="1" min="5" max="5"/>
  </cols>
  <sheetData>
    <row r="1">
      <c r="A1" s="4" t="inlineStr">
        <is>
          <t>Codigo_Receta</t>
        </is>
      </c>
      <c r="B1" s="4" t="inlineStr">
        <is>
          <t>Codigo_Producto</t>
        </is>
      </c>
      <c r="C1" s="4" t="inlineStr">
        <is>
          <t>Cantidad</t>
        </is>
      </c>
      <c r="D1" s="4" t="inlineStr">
        <is>
          <t>Unidad</t>
        </is>
      </c>
      <c r="E1" s="4" t="inlineStr">
        <is>
          <t>Bodega_Consumo</t>
        </is>
      </c>
    </row>
    <row r="2">
      <c r="A2" s="5" t="inlineStr">
        <is>
          <t>R001</t>
        </is>
      </c>
      <c r="B2" s="5" t="inlineStr">
        <is>
          <t>P001</t>
        </is>
      </c>
      <c r="C2" s="5" t="n">
        <v>4</v>
      </c>
      <c r="D2" s="5" t="inlineStr">
        <is>
          <t>kg</t>
        </is>
      </c>
      <c r="E2" s="5" t="inlineStr">
        <is>
          <t>Bodega Transitoria Cocina</t>
        </is>
      </c>
    </row>
    <row r="3">
      <c r="A3" s="5" t="inlineStr">
        <is>
          <t>R002</t>
        </is>
      </c>
      <c r="B3" s="5" t="inlineStr">
        <is>
          <t>P004</t>
        </is>
      </c>
      <c r="C3" s="5" t="n">
        <v>75</v>
      </c>
      <c r="D3" s="5" t="inlineStr">
        <is>
          <t>ml</t>
        </is>
      </c>
      <c r="E3" s="5" t="inlineStr">
        <is>
          <t>Bodega Transitoria Bar</t>
        </is>
      </c>
    </row>
    <row r="4">
      <c r="A4" s="5" t="inlineStr">
        <is>
          <t>R002</t>
        </is>
      </c>
      <c r="B4" s="5" t="inlineStr">
        <is>
          <t>P005</t>
        </is>
      </c>
      <c r="C4" s="5" t="n">
        <v>30</v>
      </c>
      <c r="D4" s="5" t="inlineStr">
        <is>
          <t>ml</t>
        </is>
      </c>
      <c r="E4" s="5" t="inlineStr">
        <is>
          <t>Bodega Transitoria Bar</t>
        </is>
      </c>
    </row>
    <row r="5">
      <c r="A5" s="5" t="inlineStr">
        <is>
          <t>R002</t>
        </is>
      </c>
      <c r="B5" s="5" t="inlineStr">
        <is>
          <t>P006</t>
        </is>
      </c>
      <c r="C5" s="5" t="n">
        <v>20</v>
      </c>
      <c r="D5" s="5" t="inlineStr">
        <is>
          <t>ml</t>
        </is>
      </c>
      <c r="E5" s="5" t="inlineStr">
        <is>
          <t>Bodega Transitoria Bar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35" customWidth="1" min="6" max="6"/>
  </cols>
  <sheetData>
    <row r="1">
      <c r="A1" s="4" t="inlineStr">
        <is>
          <t>ID</t>
        </is>
      </c>
      <c r="B1" s="4" t="inlineStr">
        <is>
          <t>Fecha</t>
        </is>
      </c>
      <c r="C1" s="4" t="inlineStr">
        <is>
          <t>Codigo_Receta</t>
        </is>
      </c>
      <c r="D1" s="4" t="inlineStr">
        <is>
          <t>Cantidad_Producida</t>
        </is>
      </c>
      <c r="E1" s="4" t="inlineStr">
        <is>
          <t>Producto_Final</t>
        </is>
      </c>
      <c r="F1" s="4" t="inlineStr">
        <is>
          <t>Observacion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8" customWidth="1" min="4" max="4"/>
    <col width="14" customWidth="1" min="5" max="5"/>
    <col width="18" customWidth="1" min="6" max="6"/>
    <col width="35" customWidth="1" min="7" max="7"/>
  </cols>
  <sheetData>
    <row r="1">
      <c r="A1" s="4" t="inlineStr">
        <is>
          <t>ID</t>
        </is>
      </c>
      <c r="B1" s="4" t="inlineStr">
        <is>
          <t>Fecha</t>
        </is>
      </c>
      <c r="C1" s="4" t="inlineStr">
        <is>
          <t>Codigo_Producto</t>
        </is>
      </c>
      <c r="D1" s="4" t="inlineStr">
        <is>
          <t>Bodega</t>
        </is>
      </c>
      <c r="E1" s="4" t="inlineStr">
        <is>
          <t>Cantidad</t>
        </is>
      </c>
      <c r="F1" s="4" t="inlineStr">
        <is>
          <t>Motivo</t>
        </is>
      </c>
      <c r="G1" s="4" t="inlineStr">
        <is>
          <t>Observacion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30" customWidth="1" min="5" max="5"/>
  </cols>
  <sheetData>
    <row r="1">
      <c r="A1" s="4" t="inlineStr">
        <is>
          <t>ID</t>
        </is>
      </c>
      <c r="B1" s="4" t="inlineStr">
        <is>
          <t>Fecha</t>
        </is>
      </c>
      <c r="C1" s="4" t="inlineStr">
        <is>
          <t>Codigo_Receta</t>
        </is>
      </c>
      <c r="D1" s="4" t="inlineStr">
        <is>
          <t>Cantidad_Vendida</t>
        </is>
      </c>
      <c r="E1" s="4" t="inlineStr">
        <is>
          <t>Referencia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8" customWidth="1" min="4" max="4"/>
    <col width="20" customWidth="1" min="5" max="5"/>
    <col width="14" customWidth="1" min="6" max="6"/>
    <col width="30" customWidth="1" min="7" max="7"/>
    <col width="14" customWidth="1" min="8" max="8"/>
  </cols>
  <sheetData>
    <row r="1">
      <c r="A1" s="4" t="inlineStr">
        <is>
          <t>ID</t>
        </is>
      </c>
      <c r="B1" s="4" t="inlineStr">
        <is>
          <t>Fecha</t>
        </is>
      </c>
      <c r="C1" s="4" t="inlineStr">
        <is>
          <t>Area</t>
        </is>
      </c>
      <c r="D1" s="4" t="inlineStr">
        <is>
          <t>Codigo_Producto</t>
        </is>
      </c>
      <c r="E1" s="4" t="inlineStr">
        <is>
          <t>Cantidad_Solicitada</t>
        </is>
      </c>
      <c r="F1" s="4" t="inlineStr">
        <is>
          <t>Prioridad</t>
        </is>
      </c>
      <c r="G1" s="4" t="inlineStr">
        <is>
          <t>Motivo</t>
        </is>
      </c>
      <c r="H1" s="4" t="inlineStr">
        <is>
          <t>Estado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1">
      <c r="A1" s="4" t="inlineStr">
        <is>
          <t>Codigo</t>
        </is>
      </c>
      <c r="B1" s="4" t="inlineStr">
        <is>
          <t>Producto</t>
        </is>
      </c>
      <c r="C1" s="4" t="inlineStr">
        <is>
          <t>Unidad</t>
        </is>
      </c>
      <c r="D1" s="4" t="inlineStr">
        <is>
          <t>Stock_Total</t>
        </is>
      </c>
      <c r="E1" s="4" t="inlineStr">
        <is>
          <t>Stock_Central</t>
        </is>
      </c>
      <c r="F1" s="4" t="inlineStr">
        <is>
          <t>Stock_Cocina</t>
        </is>
      </c>
      <c r="G1" s="4" t="inlineStr">
        <is>
          <t>Stock_Bar</t>
        </is>
      </c>
      <c r="H1" s="4" t="inlineStr">
        <is>
          <t>Stock_Minimo</t>
        </is>
      </c>
      <c r="I1" s="4" t="inlineStr">
        <is>
          <t>Estado</t>
        </is>
      </c>
      <c r="J1" s="4" t="inlineStr">
        <is>
          <t>Pedido_Sugerido</t>
        </is>
      </c>
    </row>
    <row r="2">
      <c r="A2" s="6">
        <f>IF(Productos!A2="","",Productos!A2)</f>
        <v/>
      </c>
      <c r="B2" s="6">
        <f>IF(A2="","",Productos!B2)</f>
        <v/>
      </c>
      <c r="C2" s="6">
        <f>IF(A2="","",Productos!E2)</f>
        <v/>
      </c>
      <c r="D2" s="6">
        <f>IF(A2="","",SUMIFS(Movimientos!F:F,Movimientos!D:D,A2))</f>
        <v/>
      </c>
      <c r="E2" s="6">
        <f>IF(A2="","",SUMIFS(Movimientos!F:F,Movimientos!D:D,A2,Movimientos!E:E,"Bodega Central"))</f>
        <v/>
      </c>
      <c r="F2" s="6">
        <f>IF(A2="","",SUMIFS(Movimientos!F:F,Movimientos!D:D,A2,Movimientos!E:E,"Bodega Transitoria Cocina"))</f>
        <v/>
      </c>
      <c r="G2" s="6">
        <f>IF(A2="","",SUMIFS(Movimientos!F:F,Movimientos!D:D,A2,Movimientos!E:E,"Bodega Transitoria Bar"))</f>
        <v/>
      </c>
      <c r="H2" s="6">
        <f>IF(A2="","",Productos!F2)</f>
        <v/>
      </c>
      <c r="I2" s="6">
        <f>IF(A2="","",IF(D2&lt;=0,"Sin stock",IF(D2&lt;=H2,"Bajo mínimo","OK")))</f>
        <v/>
      </c>
      <c r="J2" s="6">
        <f>IF(A2="","",MAX(H2*2-D2,0))</f>
        <v/>
      </c>
    </row>
    <row r="3">
      <c r="A3" s="6">
        <f>IF(Productos!A3="","",Productos!A3)</f>
        <v/>
      </c>
      <c r="B3" s="6">
        <f>IF(A3="","",Productos!B3)</f>
        <v/>
      </c>
      <c r="C3" s="6">
        <f>IF(A3="","",Productos!E3)</f>
        <v/>
      </c>
      <c r="D3" s="6">
        <f>IF(A3="","",SUMIFS(Movimientos!F:F,Movimientos!D:D,A3))</f>
        <v/>
      </c>
      <c r="E3" s="6">
        <f>IF(A3="","",SUMIFS(Movimientos!F:F,Movimientos!D:D,A3,Movimientos!E:E,"Bodega Central"))</f>
        <v/>
      </c>
      <c r="F3" s="6">
        <f>IF(A3="","",SUMIFS(Movimientos!F:F,Movimientos!D:D,A3,Movimientos!E:E,"Bodega Transitoria Cocina"))</f>
        <v/>
      </c>
      <c r="G3" s="6">
        <f>IF(A3="","",SUMIFS(Movimientos!F:F,Movimientos!D:D,A3,Movimientos!E:E,"Bodega Transitoria Bar"))</f>
        <v/>
      </c>
      <c r="H3" s="6">
        <f>IF(A3="","",Productos!F3)</f>
        <v/>
      </c>
      <c r="I3" s="6">
        <f>IF(A3="","",IF(D3&lt;=0,"Sin stock",IF(D3&lt;=H3,"Bajo mínimo","OK")))</f>
        <v/>
      </c>
      <c r="J3" s="6">
        <f>IF(A3="","",MAX(H3*2-D3,0))</f>
        <v/>
      </c>
    </row>
    <row r="4">
      <c r="A4" s="6">
        <f>IF(Productos!A4="","",Productos!A4)</f>
        <v/>
      </c>
      <c r="B4" s="6">
        <f>IF(A4="","",Productos!B4)</f>
        <v/>
      </c>
      <c r="C4" s="6">
        <f>IF(A4="","",Productos!E4)</f>
        <v/>
      </c>
      <c r="D4" s="6">
        <f>IF(A4="","",SUMIFS(Movimientos!F:F,Movimientos!D:D,A4))</f>
        <v/>
      </c>
      <c r="E4" s="6">
        <f>IF(A4="","",SUMIFS(Movimientos!F:F,Movimientos!D:D,A4,Movimientos!E:E,"Bodega Central"))</f>
        <v/>
      </c>
      <c r="F4" s="6">
        <f>IF(A4="","",SUMIFS(Movimientos!F:F,Movimientos!D:D,A4,Movimientos!E:E,"Bodega Transitoria Cocina"))</f>
        <v/>
      </c>
      <c r="G4" s="6">
        <f>IF(A4="","",SUMIFS(Movimientos!F:F,Movimientos!D:D,A4,Movimientos!E:E,"Bodega Transitoria Bar"))</f>
        <v/>
      </c>
      <c r="H4" s="6">
        <f>IF(A4="","",Productos!F4)</f>
        <v/>
      </c>
      <c r="I4" s="6">
        <f>IF(A4="","",IF(D4&lt;=0,"Sin stock",IF(D4&lt;=H4,"Bajo mínimo","OK")))</f>
        <v/>
      </c>
      <c r="J4" s="6">
        <f>IF(A4="","",MAX(H4*2-D4,0))</f>
        <v/>
      </c>
    </row>
    <row r="5">
      <c r="A5" s="6">
        <f>IF(Productos!A5="","",Productos!A5)</f>
        <v/>
      </c>
      <c r="B5" s="6">
        <f>IF(A5="","",Productos!B5)</f>
        <v/>
      </c>
      <c r="C5" s="6">
        <f>IF(A5="","",Productos!E5)</f>
        <v/>
      </c>
      <c r="D5" s="6">
        <f>IF(A5="","",SUMIFS(Movimientos!F:F,Movimientos!D:D,A5))</f>
        <v/>
      </c>
      <c r="E5" s="6">
        <f>IF(A5="","",SUMIFS(Movimientos!F:F,Movimientos!D:D,A5,Movimientos!E:E,"Bodega Central"))</f>
        <v/>
      </c>
      <c r="F5" s="6">
        <f>IF(A5="","",SUMIFS(Movimientos!F:F,Movimientos!D:D,A5,Movimientos!E:E,"Bodega Transitoria Cocina"))</f>
        <v/>
      </c>
      <c r="G5" s="6">
        <f>IF(A5="","",SUMIFS(Movimientos!F:F,Movimientos!D:D,A5,Movimientos!E:E,"Bodega Transitoria Bar"))</f>
        <v/>
      </c>
      <c r="H5" s="6">
        <f>IF(A5="","",Productos!F5)</f>
        <v/>
      </c>
      <c r="I5" s="6">
        <f>IF(A5="","",IF(D5&lt;=0,"Sin stock",IF(D5&lt;=H5,"Bajo mínimo","OK")))</f>
        <v/>
      </c>
      <c r="J5" s="6">
        <f>IF(A5="","",MAX(H5*2-D5,0))</f>
        <v/>
      </c>
    </row>
    <row r="6">
      <c r="A6" s="6">
        <f>IF(Productos!A6="","",Productos!A6)</f>
        <v/>
      </c>
      <c r="B6" s="6">
        <f>IF(A6="","",Productos!B6)</f>
        <v/>
      </c>
      <c r="C6" s="6">
        <f>IF(A6="","",Productos!E6)</f>
        <v/>
      </c>
      <c r="D6" s="6">
        <f>IF(A6="","",SUMIFS(Movimientos!F:F,Movimientos!D:D,A6))</f>
        <v/>
      </c>
      <c r="E6" s="6">
        <f>IF(A6="","",SUMIFS(Movimientos!F:F,Movimientos!D:D,A6,Movimientos!E:E,"Bodega Central"))</f>
        <v/>
      </c>
      <c r="F6" s="6">
        <f>IF(A6="","",SUMIFS(Movimientos!F:F,Movimientos!D:D,A6,Movimientos!E:E,"Bodega Transitoria Cocina"))</f>
        <v/>
      </c>
      <c r="G6" s="6">
        <f>IF(A6="","",SUMIFS(Movimientos!F:F,Movimientos!D:D,A6,Movimientos!E:E,"Bodega Transitoria Bar"))</f>
        <v/>
      </c>
      <c r="H6" s="6">
        <f>IF(A6="","",Productos!F6)</f>
        <v/>
      </c>
      <c r="I6" s="6">
        <f>IF(A6="","",IF(D6&lt;=0,"Sin stock",IF(D6&lt;=H6,"Bajo mínimo","OK")))</f>
        <v/>
      </c>
      <c r="J6" s="6">
        <f>IF(A6="","",MAX(H6*2-D6,0))</f>
        <v/>
      </c>
    </row>
    <row r="7">
      <c r="A7" s="6">
        <f>IF(Productos!A7="","",Productos!A7)</f>
        <v/>
      </c>
      <c r="B7" s="6">
        <f>IF(A7="","",Productos!B7)</f>
        <v/>
      </c>
      <c r="C7" s="6">
        <f>IF(A7="","",Productos!E7)</f>
        <v/>
      </c>
      <c r="D7" s="6">
        <f>IF(A7="","",SUMIFS(Movimientos!F:F,Movimientos!D:D,A7))</f>
        <v/>
      </c>
      <c r="E7" s="6">
        <f>IF(A7="","",SUMIFS(Movimientos!F:F,Movimientos!D:D,A7,Movimientos!E:E,"Bodega Central"))</f>
        <v/>
      </c>
      <c r="F7" s="6">
        <f>IF(A7="","",SUMIFS(Movimientos!F:F,Movimientos!D:D,A7,Movimientos!E:E,"Bodega Transitoria Cocina"))</f>
        <v/>
      </c>
      <c r="G7" s="6">
        <f>IF(A7="","",SUMIFS(Movimientos!F:F,Movimientos!D:D,A7,Movimientos!E:E,"Bodega Transitoria Bar"))</f>
        <v/>
      </c>
      <c r="H7" s="6">
        <f>IF(A7="","",Productos!F7)</f>
        <v/>
      </c>
      <c r="I7" s="6">
        <f>IF(A7="","",IF(D7&lt;=0,"Sin stock",IF(D7&lt;=H7,"Bajo mínimo","OK")))</f>
        <v/>
      </c>
      <c r="J7" s="6">
        <f>IF(A7="","",MAX(H7*2-D7,0))</f>
        <v/>
      </c>
    </row>
    <row r="8">
      <c r="A8" s="6">
        <f>IF(Productos!A8="","",Productos!A8)</f>
        <v/>
      </c>
      <c r="B8" s="6">
        <f>IF(A8="","",Productos!B8)</f>
        <v/>
      </c>
      <c r="C8" s="6">
        <f>IF(A8="","",Productos!E8)</f>
        <v/>
      </c>
      <c r="D8" s="6">
        <f>IF(A8="","",SUMIFS(Movimientos!F:F,Movimientos!D:D,A8))</f>
        <v/>
      </c>
      <c r="E8" s="6">
        <f>IF(A8="","",SUMIFS(Movimientos!F:F,Movimientos!D:D,A8,Movimientos!E:E,"Bodega Central"))</f>
        <v/>
      </c>
      <c r="F8" s="6">
        <f>IF(A8="","",SUMIFS(Movimientos!F:F,Movimientos!D:D,A8,Movimientos!E:E,"Bodega Transitoria Cocina"))</f>
        <v/>
      </c>
      <c r="G8" s="6">
        <f>IF(A8="","",SUMIFS(Movimientos!F:F,Movimientos!D:D,A8,Movimientos!E:E,"Bodega Transitoria Bar"))</f>
        <v/>
      </c>
      <c r="H8" s="6">
        <f>IF(A8="","",Productos!F8)</f>
        <v/>
      </c>
      <c r="I8" s="6">
        <f>IF(A8="","",IF(D8&lt;=0,"Sin stock",IF(D8&lt;=H8,"Bajo mínimo","OK")))</f>
        <v/>
      </c>
      <c r="J8" s="6">
        <f>IF(A8="","",MAX(H8*2-D8,0))</f>
        <v/>
      </c>
    </row>
    <row r="9">
      <c r="A9" s="6">
        <f>IF(Productos!A9="","",Productos!A9)</f>
        <v/>
      </c>
      <c r="B9" s="6">
        <f>IF(A9="","",Productos!B9)</f>
        <v/>
      </c>
      <c r="C9" s="6">
        <f>IF(A9="","",Productos!E9)</f>
        <v/>
      </c>
      <c r="D9" s="6">
        <f>IF(A9="","",SUMIFS(Movimientos!F:F,Movimientos!D:D,A9))</f>
        <v/>
      </c>
      <c r="E9" s="6">
        <f>IF(A9="","",SUMIFS(Movimientos!F:F,Movimientos!D:D,A9,Movimientos!E:E,"Bodega Central"))</f>
        <v/>
      </c>
      <c r="F9" s="6">
        <f>IF(A9="","",SUMIFS(Movimientos!F:F,Movimientos!D:D,A9,Movimientos!E:E,"Bodega Transitoria Cocina"))</f>
        <v/>
      </c>
      <c r="G9" s="6">
        <f>IF(A9="","",SUMIFS(Movimientos!F:F,Movimientos!D:D,A9,Movimientos!E:E,"Bodega Transitoria Bar"))</f>
        <v/>
      </c>
      <c r="H9" s="6">
        <f>IF(A9="","",Productos!F9)</f>
        <v/>
      </c>
      <c r="I9" s="6">
        <f>IF(A9="","",IF(D9&lt;=0,"Sin stock",IF(D9&lt;=H9,"Bajo mínimo","OK")))</f>
        <v/>
      </c>
      <c r="J9" s="6">
        <f>IF(A9="","",MAX(H9*2-D9,0))</f>
        <v/>
      </c>
    </row>
    <row r="10">
      <c r="A10" s="6">
        <f>IF(Productos!A10="","",Productos!A10)</f>
        <v/>
      </c>
      <c r="B10" s="6">
        <f>IF(A10="","",Productos!B10)</f>
        <v/>
      </c>
      <c r="C10" s="6">
        <f>IF(A10="","",Productos!E10)</f>
        <v/>
      </c>
      <c r="D10" s="6">
        <f>IF(A10="","",SUMIFS(Movimientos!F:F,Movimientos!D:D,A10))</f>
        <v/>
      </c>
      <c r="E10" s="6">
        <f>IF(A10="","",SUMIFS(Movimientos!F:F,Movimientos!D:D,A10,Movimientos!E:E,"Bodega Central"))</f>
        <v/>
      </c>
      <c r="F10" s="6">
        <f>IF(A10="","",SUMIFS(Movimientos!F:F,Movimientos!D:D,A10,Movimientos!E:E,"Bodega Transitoria Cocina"))</f>
        <v/>
      </c>
      <c r="G10" s="6">
        <f>IF(A10="","",SUMIFS(Movimientos!F:F,Movimientos!D:D,A10,Movimientos!E:E,"Bodega Transitoria Bar"))</f>
        <v/>
      </c>
      <c r="H10" s="6">
        <f>IF(A10="","",Productos!F10)</f>
        <v/>
      </c>
      <c r="I10" s="6">
        <f>IF(A10="","",IF(D10&lt;=0,"Sin stock",IF(D10&lt;=H10,"Bajo mínimo","OK")))</f>
        <v/>
      </c>
      <c r="J10" s="6">
        <f>IF(A10="","",MAX(H10*2-D10,0))</f>
        <v/>
      </c>
    </row>
    <row r="11">
      <c r="A11" s="6">
        <f>IF(Productos!A11="","",Productos!A11)</f>
        <v/>
      </c>
      <c r="B11" s="6">
        <f>IF(A11="","",Productos!B11)</f>
        <v/>
      </c>
      <c r="C11" s="6">
        <f>IF(A11="","",Productos!E11)</f>
        <v/>
      </c>
      <c r="D11" s="6">
        <f>IF(A11="","",SUMIFS(Movimientos!F:F,Movimientos!D:D,A11))</f>
        <v/>
      </c>
      <c r="E11" s="6">
        <f>IF(A11="","",SUMIFS(Movimientos!F:F,Movimientos!D:D,A11,Movimientos!E:E,"Bodega Central"))</f>
        <v/>
      </c>
      <c r="F11" s="6">
        <f>IF(A11="","",SUMIFS(Movimientos!F:F,Movimientos!D:D,A11,Movimientos!E:E,"Bodega Transitoria Cocina"))</f>
        <v/>
      </c>
      <c r="G11" s="6">
        <f>IF(A11="","",SUMIFS(Movimientos!F:F,Movimientos!D:D,A11,Movimientos!E:E,"Bodega Transitoria Bar"))</f>
        <v/>
      </c>
      <c r="H11" s="6">
        <f>IF(A11="","",Productos!F11)</f>
        <v/>
      </c>
      <c r="I11" s="6">
        <f>IF(A11="","",IF(D11&lt;=0,"Sin stock",IF(D11&lt;=H11,"Bajo mínimo","OK")))</f>
        <v/>
      </c>
      <c r="J11" s="6">
        <f>IF(A11="","",MAX(H11*2-D11,0))</f>
        <v/>
      </c>
    </row>
    <row r="12">
      <c r="A12" s="6">
        <f>IF(Productos!A12="","",Productos!A12)</f>
        <v/>
      </c>
      <c r="B12" s="6">
        <f>IF(A12="","",Productos!B12)</f>
        <v/>
      </c>
      <c r="C12" s="6">
        <f>IF(A12="","",Productos!E12)</f>
        <v/>
      </c>
      <c r="D12" s="6">
        <f>IF(A12="","",SUMIFS(Movimientos!F:F,Movimientos!D:D,A12))</f>
        <v/>
      </c>
      <c r="E12" s="6">
        <f>IF(A12="","",SUMIFS(Movimientos!F:F,Movimientos!D:D,A12,Movimientos!E:E,"Bodega Central"))</f>
        <v/>
      </c>
      <c r="F12" s="6">
        <f>IF(A12="","",SUMIFS(Movimientos!F:F,Movimientos!D:D,A12,Movimientos!E:E,"Bodega Transitoria Cocina"))</f>
        <v/>
      </c>
      <c r="G12" s="6">
        <f>IF(A12="","",SUMIFS(Movimientos!F:F,Movimientos!D:D,A12,Movimientos!E:E,"Bodega Transitoria Bar"))</f>
        <v/>
      </c>
      <c r="H12" s="6">
        <f>IF(A12="","",Productos!F12)</f>
        <v/>
      </c>
      <c r="I12" s="6">
        <f>IF(A12="","",IF(D12&lt;=0,"Sin stock",IF(D12&lt;=H12,"Bajo mínimo","OK")))</f>
        <v/>
      </c>
      <c r="J12" s="6">
        <f>IF(A12="","",MAX(H12*2-D12,0))</f>
        <v/>
      </c>
    </row>
    <row r="13">
      <c r="A13" s="6">
        <f>IF(Productos!A13="","",Productos!A13)</f>
        <v/>
      </c>
      <c r="B13" s="6">
        <f>IF(A13="","",Productos!B13)</f>
        <v/>
      </c>
      <c r="C13" s="6">
        <f>IF(A13="","",Productos!E13)</f>
        <v/>
      </c>
      <c r="D13" s="6">
        <f>IF(A13="","",SUMIFS(Movimientos!F:F,Movimientos!D:D,A13))</f>
        <v/>
      </c>
      <c r="E13" s="6">
        <f>IF(A13="","",SUMIFS(Movimientos!F:F,Movimientos!D:D,A13,Movimientos!E:E,"Bodega Central"))</f>
        <v/>
      </c>
      <c r="F13" s="6">
        <f>IF(A13="","",SUMIFS(Movimientos!F:F,Movimientos!D:D,A13,Movimientos!E:E,"Bodega Transitoria Cocina"))</f>
        <v/>
      </c>
      <c r="G13" s="6">
        <f>IF(A13="","",SUMIFS(Movimientos!F:F,Movimientos!D:D,A13,Movimientos!E:E,"Bodega Transitoria Bar"))</f>
        <v/>
      </c>
      <c r="H13" s="6">
        <f>IF(A13="","",Productos!F13)</f>
        <v/>
      </c>
      <c r="I13" s="6">
        <f>IF(A13="","",IF(D13&lt;=0,"Sin stock",IF(D13&lt;=H13,"Bajo mínimo","OK")))</f>
        <v/>
      </c>
      <c r="J13" s="6">
        <f>IF(A13="","",MAX(H13*2-D13,0))</f>
        <v/>
      </c>
    </row>
    <row r="14">
      <c r="A14" s="6">
        <f>IF(Productos!A14="","",Productos!A14)</f>
        <v/>
      </c>
      <c r="B14" s="6">
        <f>IF(A14="","",Productos!B14)</f>
        <v/>
      </c>
      <c r="C14" s="6">
        <f>IF(A14="","",Productos!E14)</f>
        <v/>
      </c>
      <c r="D14" s="6">
        <f>IF(A14="","",SUMIFS(Movimientos!F:F,Movimientos!D:D,A14))</f>
        <v/>
      </c>
      <c r="E14" s="6">
        <f>IF(A14="","",SUMIFS(Movimientos!F:F,Movimientos!D:D,A14,Movimientos!E:E,"Bodega Central"))</f>
        <v/>
      </c>
      <c r="F14" s="6">
        <f>IF(A14="","",SUMIFS(Movimientos!F:F,Movimientos!D:D,A14,Movimientos!E:E,"Bodega Transitoria Cocina"))</f>
        <v/>
      </c>
      <c r="G14" s="6">
        <f>IF(A14="","",SUMIFS(Movimientos!F:F,Movimientos!D:D,A14,Movimientos!E:E,"Bodega Transitoria Bar"))</f>
        <v/>
      </c>
      <c r="H14" s="6">
        <f>IF(A14="","",Productos!F14)</f>
        <v/>
      </c>
      <c r="I14" s="6">
        <f>IF(A14="","",IF(D14&lt;=0,"Sin stock",IF(D14&lt;=H14,"Bajo mínimo","OK")))</f>
        <v/>
      </c>
      <c r="J14" s="6">
        <f>IF(A14="","",MAX(H14*2-D14,0))</f>
        <v/>
      </c>
    </row>
    <row r="15">
      <c r="A15" s="6">
        <f>IF(Productos!A15="","",Productos!A15)</f>
        <v/>
      </c>
      <c r="B15" s="6">
        <f>IF(A15="","",Productos!B15)</f>
        <v/>
      </c>
      <c r="C15" s="6">
        <f>IF(A15="","",Productos!E15)</f>
        <v/>
      </c>
      <c r="D15" s="6">
        <f>IF(A15="","",SUMIFS(Movimientos!F:F,Movimientos!D:D,A15))</f>
        <v/>
      </c>
      <c r="E15" s="6">
        <f>IF(A15="","",SUMIFS(Movimientos!F:F,Movimientos!D:D,A15,Movimientos!E:E,"Bodega Central"))</f>
        <v/>
      </c>
      <c r="F15" s="6">
        <f>IF(A15="","",SUMIFS(Movimientos!F:F,Movimientos!D:D,A15,Movimientos!E:E,"Bodega Transitoria Cocina"))</f>
        <v/>
      </c>
      <c r="G15" s="6">
        <f>IF(A15="","",SUMIFS(Movimientos!F:F,Movimientos!D:D,A15,Movimientos!E:E,"Bodega Transitoria Bar"))</f>
        <v/>
      </c>
      <c r="H15" s="6">
        <f>IF(A15="","",Productos!F15)</f>
        <v/>
      </c>
      <c r="I15" s="6">
        <f>IF(A15="","",IF(D15&lt;=0,"Sin stock",IF(D15&lt;=H15,"Bajo mínimo","OK")))</f>
        <v/>
      </c>
      <c r="J15" s="6">
        <f>IF(A15="","",MAX(H15*2-D15,0))</f>
        <v/>
      </c>
    </row>
    <row r="16">
      <c r="A16" s="6">
        <f>IF(Productos!A16="","",Productos!A16)</f>
        <v/>
      </c>
      <c r="B16" s="6">
        <f>IF(A16="","",Productos!B16)</f>
        <v/>
      </c>
      <c r="C16" s="6">
        <f>IF(A16="","",Productos!E16)</f>
        <v/>
      </c>
      <c r="D16" s="6">
        <f>IF(A16="","",SUMIFS(Movimientos!F:F,Movimientos!D:D,A16))</f>
        <v/>
      </c>
      <c r="E16" s="6">
        <f>IF(A16="","",SUMIFS(Movimientos!F:F,Movimientos!D:D,A16,Movimientos!E:E,"Bodega Central"))</f>
        <v/>
      </c>
      <c r="F16" s="6">
        <f>IF(A16="","",SUMIFS(Movimientos!F:F,Movimientos!D:D,A16,Movimientos!E:E,"Bodega Transitoria Cocina"))</f>
        <v/>
      </c>
      <c r="G16" s="6">
        <f>IF(A16="","",SUMIFS(Movimientos!F:F,Movimientos!D:D,A16,Movimientos!E:E,"Bodega Transitoria Bar"))</f>
        <v/>
      </c>
      <c r="H16" s="6">
        <f>IF(A16="","",Productos!F16)</f>
        <v/>
      </c>
      <c r="I16" s="6">
        <f>IF(A16="","",IF(D16&lt;=0,"Sin stock",IF(D16&lt;=H16,"Bajo mínimo","OK")))</f>
        <v/>
      </c>
      <c r="J16" s="6">
        <f>IF(A16="","",MAX(H16*2-D16,0))</f>
        <v/>
      </c>
    </row>
    <row r="17">
      <c r="A17" s="6">
        <f>IF(Productos!A17="","",Productos!A17)</f>
        <v/>
      </c>
      <c r="B17" s="6">
        <f>IF(A17="","",Productos!B17)</f>
        <v/>
      </c>
      <c r="C17" s="6">
        <f>IF(A17="","",Productos!E17)</f>
        <v/>
      </c>
      <c r="D17" s="6">
        <f>IF(A17="","",SUMIFS(Movimientos!F:F,Movimientos!D:D,A17))</f>
        <v/>
      </c>
      <c r="E17" s="6">
        <f>IF(A17="","",SUMIFS(Movimientos!F:F,Movimientos!D:D,A17,Movimientos!E:E,"Bodega Central"))</f>
        <v/>
      </c>
      <c r="F17" s="6">
        <f>IF(A17="","",SUMIFS(Movimientos!F:F,Movimientos!D:D,A17,Movimientos!E:E,"Bodega Transitoria Cocina"))</f>
        <v/>
      </c>
      <c r="G17" s="6">
        <f>IF(A17="","",SUMIFS(Movimientos!F:F,Movimientos!D:D,A17,Movimientos!E:E,"Bodega Transitoria Bar"))</f>
        <v/>
      </c>
      <c r="H17" s="6">
        <f>IF(A17="","",Productos!F17)</f>
        <v/>
      </c>
      <c r="I17" s="6">
        <f>IF(A17="","",IF(D17&lt;=0,"Sin stock",IF(D17&lt;=H17,"Bajo mínimo","OK")))</f>
        <v/>
      </c>
      <c r="J17" s="6">
        <f>IF(A17="","",MAX(H17*2-D17,0))</f>
        <v/>
      </c>
    </row>
    <row r="18">
      <c r="A18" s="6">
        <f>IF(Productos!A18="","",Productos!A18)</f>
        <v/>
      </c>
      <c r="B18" s="6">
        <f>IF(A18="","",Productos!B18)</f>
        <v/>
      </c>
      <c r="C18" s="6">
        <f>IF(A18="","",Productos!E18)</f>
        <v/>
      </c>
      <c r="D18" s="6">
        <f>IF(A18="","",SUMIFS(Movimientos!F:F,Movimientos!D:D,A18))</f>
        <v/>
      </c>
      <c r="E18" s="6">
        <f>IF(A18="","",SUMIFS(Movimientos!F:F,Movimientos!D:D,A18,Movimientos!E:E,"Bodega Central"))</f>
        <v/>
      </c>
      <c r="F18" s="6">
        <f>IF(A18="","",SUMIFS(Movimientos!F:F,Movimientos!D:D,A18,Movimientos!E:E,"Bodega Transitoria Cocina"))</f>
        <v/>
      </c>
      <c r="G18" s="6">
        <f>IF(A18="","",SUMIFS(Movimientos!F:F,Movimientos!D:D,A18,Movimientos!E:E,"Bodega Transitoria Bar"))</f>
        <v/>
      </c>
      <c r="H18" s="6">
        <f>IF(A18="","",Productos!F18)</f>
        <v/>
      </c>
      <c r="I18" s="6">
        <f>IF(A18="","",IF(D18&lt;=0,"Sin stock",IF(D18&lt;=H18,"Bajo mínimo","OK")))</f>
        <v/>
      </c>
      <c r="J18" s="6">
        <f>IF(A18="","",MAX(H18*2-D18,0))</f>
        <v/>
      </c>
    </row>
    <row r="19">
      <c r="A19" s="6">
        <f>IF(Productos!A19="","",Productos!A19)</f>
        <v/>
      </c>
      <c r="B19" s="6">
        <f>IF(A19="","",Productos!B19)</f>
        <v/>
      </c>
      <c r="C19" s="6">
        <f>IF(A19="","",Productos!E19)</f>
        <v/>
      </c>
      <c r="D19" s="6">
        <f>IF(A19="","",SUMIFS(Movimientos!F:F,Movimientos!D:D,A19))</f>
        <v/>
      </c>
      <c r="E19" s="6">
        <f>IF(A19="","",SUMIFS(Movimientos!F:F,Movimientos!D:D,A19,Movimientos!E:E,"Bodega Central"))</f>
        <v/>
      </c>
      <c r="F19" s="6">
        <f>IF(A19="","",SUMIFS(Movimientos!F:F,Movimientos!D:D,A19,Movimientos!E:E,"Bodega Transitoria Cocina"))</f>
        <v/>
      </c>
      <c r="G19" s="6">
        <f>IF(A19="","",SUMIFS(Movimientos!F:F,Movimientos!D:D,A19,Movimientos!E:E,"Bodega Transitoria Bar"))</f>
        <v/>
      </c>
      <c r="H19" s="6">
        <f>IF(A19="","",Productos!F19)</f>
        <v/>
      </c>
      <c r="I19" s="6">
        <f>IF(A19="","",IF(D19&lt;=0,"Sin stock",IF(D19&lt;=H19,"Bajo mínimo","OK")))</f>
        <v/>
      </c>
      <c r="J19" s="6">
        <f>IF(A19="","",MAX(H19*2-D19,0))</f>
        <v/>
      </c>
    </row>
    <row r="20">
      <c r="A20" s="6">
        <f>IF(Productos!A20="","",Productos!A20)</f>
        <v/>
      </c>
      <c r="B20" s="6">
        <f>IF(A20="","",Productos!B20)</f>
        <v/>
      </c>
      <c r="C20" s="6">
        <f>IF(A20="","",Productos!E20)</f>
        <v/>
      </c>
      <c r="D20" s="6">
        <f>IF(A20="","",SUMIFS(Movimientos!F:F,Movimientos!D:D,A20))</f>
        <v/>
      </c>
      <c r="E20" s="6">
        <f>IF(A20="","",SUMIFS(Movimientos!F:F,Movimientos!D:D,A20,Movimientos!E:E,"Bodega Central"))</f>
        <v/>
      </c>
      <c r="F20" s="6">
        <f>IF(A20="","",SUMIFS(Movimientos!F:F,Movimientos!D:D,A20,Movimientos!E:E,"Bodega Transitoria Cocina"))</f>
        <v/>
      </c>
      <c r="G20" s="6">
        <f>IF(A20="","",SUMIFS(Movimientos!F:F,Movimientos!D:D,A20,Movimientos!E:E,"Bodega Transitoria Bar"))</f>
        <v/>
      </c>
      <c r="H20" s="6">
        <f>IF(A20="","",Productos!F20)</f>
        <v/>
      </c>
      <c r="I20" s="6">
        <f>IF(A20="","",IF(D20&lt;=0,"Sin stock",IF(D20&lt;=H20,"Bajo mínimo","OK")))</f>
        <v/>
      </c>
      <c r="J20" s="6">
        <f>IF(A20="","",MAX(H20*2-D20,0))</f>
        <v/>
      </c>
    </row>
    <row r="21">
      <c r="A21" s="6">
        <f>IF(Productos!A21="","",Productos!A21)</f>
        <v/>
      </c>
      <c r="B21" s="6">
        <f>IF(A21="","",Productos!B21)</f>
        <v/>
      </c>
      <c r="C21" s="6">
        <f>IF(A21="","",Productos!E21)</f>
        <v/>
      </c>
      <c r="D21" s="6">
        <f>IF(A21="","",SUMIFS(Movimientos!F:F,Movimientos!D:D,A21))</f>
        <v/>
      </c>
      <c r="E21" s="6">
        <f>IF(A21="","",SUMIFS(Movimientos!F:F,Movimientos!D:D,A21,Movimientos!E:E,"Bodega Central"))</f>
        <v/>
      </c>
      <c r="F21" s="6">
        <f>IF(A21="","",SUMIFS(Movimientos!F:F,Movimientos!D:D,A21,Movimientos!E:E,"Bodega Transitoria Cocina"))</f>
        <v/>
      </c>
      <c r="G21" s="6">
        <f>IF(A21="","",SUMIFS(Movimientos!F:F,Movimientos!D:D,A21,Movimientos!E:E,"Bodega Transitoria Bar"))</f>
        <v/>
      </c>
      <c r="H21" s="6">
        <f>IF(A21="","",Productos!F21)</f>
        <v/>
      </c>
      <c r="I21" s="6">
        <f>IF(A21="","",IF(D21&lt;=0,"Sin stock",IF(D21&lt;=H21,"Bajo mínimo","OK")))</f>
        <v/>
      </c>
      <c r="J21" s="6">
        <f>IF(A21="","",MAX(H21*2-D21,0))</f>
        <v/>
      </c>
    </row>
    <row r="22">
      <c r="A22" s="6">
        <f>IF(Productos!A22="","",Productos!A22)</f>
        <v/>
      </c>
      <c r="B22" s="6">
        <f>IF(A22="","",Productos!B22)</f>
        <v/>
      </c>
      <c r="C22" s="6">
        <f>IF(A22="","",Productos!E22)</f>
        <v/>
      </c>
      <c r="D22" s="6">
        <f>IF(A22="","",SUMIFS(Movimientos!F:F,Movimientos!D:D,A22))</f>
        <v/>
      </c>
      <c r="E22" s="6">
        <f>IF(A22="","",SUMIFS(Movimientos!F:F,Movimientos!D:D,A22,Movimientos!E:E,"Bodega Central"))</f>
        <v/>
      </c>
      <c r="F22" s="6">
        <f>IF(A22="","",SUMIFS(Movimientos!F:F,Movimientos!D:D,A22,Movimientos!E:E,"Bodega Transitoria Cocina"))</f>
        <v/>
      </c>
      <c r="G22" s="6">
        <f>IF(A22="","",SUMIFS(Movimientos!F:F,Movimientos!D:D,A22,Movimientos!E:E,"Bodega Transitoria Bar"))</f>
        <v/>
      </c>
      <c r="H22" s="6">
        <f>IF(A22="","",Productos!F22)</f>
        <v/>
      </c>
      <c r="I22" s="6">
        <f>IF(A22="","",IF(D22&lt;=0,"Sin stock",IF(D22&lt;=H22,"Bajo mínimo","OK")))</f>
        <v/>
      </c>
      <c r="J22" s="6">
        <f>IF(A22="","",MAX(H22*2-D22,0))</f>
        <v/>
      </c>
    </row>
    <row r="23">
      <c r="A23" s="6">
        <f>IF(Productos!A23="","",Productos!A23)</f>
        <v/>
      </c>
      <c r="B23" s="6">
        <f>IF(A23="","",Productos!B23)</f>
        <v/>
      </c>
      <c r="C23" s="6">
        <f>IF(A23="","",Productos!E23)</f>
        <v/>
      </c>
      <c r="D23" s="6">
        <f>IF(A23="","",SUMIFS(Movimientos!F:F,Movimientos!D:D,A23))</f>
        <v/>
      </c>
      <c r="E23" s="6">
        <f>IF(A23="","",SUMIFS(Movimientos!F:F,Movimientos!D:D,A23,Movimientos!E:E,"Bodega Central"))</f>
        <v/>
      </c>
      <c r="F23" s="6">
        <f>IF(A23="","",SUMIFS(Movimientos!F:F,Movimientos!D:D,A23,Movimientos!E:E,"Bodega Transitoria Cocina"))</f>
        <v/>
      </c>
      <c r="G23" s="6">
        <f>IF(A23="","",SUMIFS(Movimientos!F:F,Movimientos!D:D,A23,Movimientos!E:E,"Bodega Transitoria Bar"))</f>
        <v/>
      </c>
      <c r="H23" s="6">
        <f>IF(A23="","",Productos!F23)</f>
        <v/>
      </c>
      <c r="I23" s="6">
        <f>IF(A23="","",IF(D23&lt;=0,"Sin stock",IF(D23&lt;=H23,"Bajo mínimo","OK")))</f>
        <v/>
      </c>
      <c r="J23" s="6">
        <f>IF(A23="","",MAX(H23*2-D23,0))</f>
        <v/>
      </c>
    </row>
    <row r="24">
      <c r="A24" s="6">
        <f>IF(Productos!A24="","",Productos!A24)</f>
        <v/>
      </c>
      <c r="B24" s="6">
        <f>IF(A24="","",Productos!B24)</f>
        <v/>
      </c>
      <c r="C24" s="6">
        <f>IF(A24="","",Productos!E24)</f>
        <v/>
      </c>
      <c r="D24" s="6">
        <f>IF(A24="","",SUMIFS(Movimientos!F:F,Movimientos!D:D,A24))</f>
        <v/>
      </c>
      <c r="E24" s="6">
        <f>IF(A24="","",SUMIFS(Movimientos!F:F,Movimientos!D:D,A24,Movimientos!E:E,"Bodega Central"))</f>
        <v/>
      </c>
      <c r="F24" s="6">
        <f>IF(A24="","",SUMIFS(Movimientos!F:F,Movimientos!D:D,A24,Movimientos!E:E,"Bodega Transitoria Cocina"))</f>
        <v/>
      </c>
      <c r="G24" s="6">
        <f>IF(A24="","",SUMIFS(Movimientos!F:F,Movimientos!D:D,A24,Movimientos!E:E,"Bodega Transitoria Bar"))</f>
        <v/>
      </c>
      <c r="H24" s="6">
        <f>IF(A24="","",Productos!F24)</f>
        <v/>
      </c>
      <c r="I24" s="6">
        <f>IF(A24="","",IF(D24&lt;=0,"Sin stock",IF(D24&lt;=H24,"Bajo mínimo","OK")))</f>
        <v/>
      </c>
      <c r="J24" s="6">
        <f>IF(A24="","",MAX(H24*2-D24,0))</f>
        <v/>
      </c>
    </row>
    <row r="25">
      <c r="A25" s="6">
        <f>IF(Productos!A25="","",Productos!A25)</f>
        <v/>
      </c>
      <c r="B25" s="6">
        <f>IF(A25="","",Productos!B25)</f>
        <v/>
      </c>
      <c r="C25" s="6">
        <f>IF(A25="","",Productos!E25)</f>
        <v/>
      </c>
      <c r="D25" s="6">
        <f>IF(A25="","",SUMIFS(Movimientos!F:F,Movimientos!D:D,A25))</f>
        <v/>
      </c>
      <c r="E25" s="6">
        <f>IF(A25="","",SUMIFS(Movimientos!F:F,Movimientos!D:D,A25,Movimientos!E:E,"Bodega Central"))</f>
        <v/>
      </c>
      <c r="F25" s="6">
        <f>IF(A25="","",SUMIFS(Movimientos!F:F,Movimientos!D:D,A25,Movimientos!E:E,"Bodega Transitoria Cocina"))</f>
        <v/>
      </c>
      <c r="G25" s="6">
        <f>IF(A25="","",SUMIFS(Movimientos!F:F,Movimientos!D:D,A25,Movimientos!E:E,"Bodega Transitoria Bar"))</f>
        <v/>
      </c>
      <c r="H25" s="6">
        <f>IF(A25="","",Productos!F25)</f>
        <v/>
      </c>
      <c r="I25" s="6">
        <f>IF(A25="","",IF(D25&lt;=0,"Sin stock",IF(D25&lt;=H25,"Bajo mínimo","OK")))</f>
        <v/>
      </c>
      <c r="J25" s="6">
        <f>IF(A25="","",MAX(H25*2-D25,0))</f>
        <v/>
      </c>
    </row>
    <row r="26">
      <c r="A26" s="6">
        <f>IF(Productos!A26="","",Productos!A26)</f>
        <v/>
      </c>
      <c r="B26" s="6">
        <f>IF(A26="","",Productos!B26)</f>
        <v/>
      </c>
      <c r="C26" s="6">
        <f>IF(A26="","",Productos!E26)</f>
        <v/>
      </c>
      <c r="D26" s="6">
        <f>IF(A26="","",SUMIFS(Movimientos!F:F,Movimientos!D:D,A26))</f>
        <v/>
      </c>
      <c r="E26" s="6">
        <f>IF(A26="","",SUMIFS(Movimientos!F:F,Movimientos!D:D,A26,Movimientos!E:E,"Bodega Central"))</f>
        <v/>
      </c>
      <c r="F26" s="6">
        <f>IF(A26="","",SUMIFS(Movimientos!F:F,Movimientos!D:D,A26,Movimientos!E:E,"Bodega Transitoria Cocina"))</f>
        <v/>
      </c>
      <c r="G26" s="6">
        <f>IF(A26="","",SUMIFS(Movimientos!F:F,Movimientos!D:D,A26,Movimientos!E:E,"Bodega Transitoria Bar"))</f>
        <v/>
      </c>
      <c r="H26" s="6">
        <f>IF(A26="","",Productos!F26)</f>
        <v/>
      </c>
      <c r="I26" s="6">
        <f>IF(A26="","",IF(D26&lt;=0,"Sin stock",IF(D26&lt;=H26,"Bajo mínimo","OK")))</f>
        <v/>
      </c>
      <c r="J26" s="6">
        <f>IF(A26="","",MAX(H26*2-D26,0))</f>
        <v/>
      </c>
    </row>
    <row r="27">
      <c r="A27" s="6">
        <f>IF(Productos!A27="","",Productos!A27)</f>
        <v/>
      </c>
      <c r="B27" s="6">
        <f>IF(A27="","",Productos!B27)</f>
        <v/>
      </c>
      <c r="C27" s="6">
        <f>IF(A27="","",Productos!E27)</f>
        <v/>
      </c>
      <c r="D27" s="6">
        <f>IF(A27="","",SUMIFS(Movimientos!F:F,Movimientos!D:D,A27))</f>
        <v/>
      </c>
      <c r="E27" s="6">
        <f>IF(A27="","",SUMIFS(Movimientos!F:F,Movimientos!D:D,A27,Movimientos!E:E,"Bodega Central"))</f>
        <v/>
      </c>
      <c r="F27" s="6">
        <f>IF(A27="","",SUMIFS(Movimientos!F:F,Movimientos!D:D,A27,Movimientos!E:E,"Bodega Transitoria Cocina"))</f>
        <v/>
      </c>
      <c r="G27" s="6">
        <f>IF(A27="","",SUMIFS(Movimientos!F:F,Movimientos!D:D,A27,Movimientos!E:E,"Bodega Transitoria Bar"))</f>
        <v/>
      </c>
      <c r="H27" s="6">
        <f>IF(A27="","",Productos!F27)</f>
        <v/>
      </c>
      <c r="I27" s="6">
        <f>IF(A27="","",IF(D27&lt;=0,"Sin stock",IF(D27&lt;=H27,"Bajo mínimo","OK")))</f>
        <v/>
      </c>
      <c r="J27" s="6">
        <f>IF(A27="","",MAX(H27*2-D27,0))</f>
        <v/>
      </c>
    </row>
    <row r="28">
      <c r="A28" s="6">
        <f>IF(Productos!A28="","",Productos!A28)</f>
        <v/>
      </c>
      <c r="B28" s="6">
        <f>IF(A28="","",Productos!B28)</f>
        <v/>
      </c>
      <c r="C28" s="6">
        <f>IF(A28="","",Productos!E28)</f>
        <v/>
      </c>
      <c r="D28" s="6">
        <f>IF(A28="","",SUMIFS(Movimientos!F:F,Movimientos!D:D,A28))</f>
        <v/>
      </c>
      <c r="E28" s="6">
        <f>IF(A28="","",SUMIFS(Movimientos!F:F,Movimientos!D:D,A28,Movimientos!E:E,"Bodega Central"))</f>
        <v/>
      </c>
      <c r="F28" s="6">
        <f>IF(A28="","",SUMIFS(Movimientos!F:F,Movimientos!D:D,A28,Movimientos!E:E,"Bodega Transitoria Cocina"))</f>
        <v/>
      </c>
      <c r="G28" s="6">
        <f>IF(A28="","",SUMIFS(Movimientos!F:F,Movimientos!D:D,A28,Movimientos!E:E,"Bodega Transitoria Bar"))</f>
        <v/>
      </c>
      <c r="H28" s="6">
        <f>IF(A28="","",Productos!F28)</f>
        <v/>
      </c>
      <c r="I28" s="6">
        <f>IF(A28="","",IF(D28&lt;=0,"Sin stock",IF(D28&lt;=H28,"Bajo mínimo","OK")))</f>
        <v/>
      </c>
      <c r="J28" s="6">
        <f>IF(A28="","",MAX(H28*2-D28,0))</f>
        <v/>
      </c>
    </row>
    <row r="29">
      <c r="A29" s="6">
        <f>IF(Productos!A29="","",Productos!A29)</f>
        <v/>
      </c>
      <c r="B29" s="6">
        <f>IF(A29="","",Productos!B29)</f>
        <v/>
      </c>
      <c r="C29" s="6">
        <f>IF(A29="","",Productos!E29)</f>
        <v/>
      </c>
      <c r="D29" s="6">
        <f>IF(A29="","",SUMIFS(Movimientos!F:F,Movimientos!D:D,A29))</f>
        <v/>
      </c>
      <c r="E29" s="6">
        <f>IF(A29="","",SUMIFS(Movimientos!F:F,Movimientos!D:D,A29,Movimientos!E:E,"Bodega Central"))</f>
        <v/>
      </c>
      <c r="F29" s="6">
        <f>IF(A29="","",SUMIFS(Movimientos!F:F,Movimientos!D:D,A29,Movimientos!E:E,"Bodega Transitoria Cocina"))</f>
        <v/>
      </c>
      <c r="G29" s="6">
        <f>IF(A29="","",SUMIFS(Movimientos!F:F,Movimientos!D:D,A29,Movimientos!E:E,"Bodega Transitoria Bar"))</f>
        <v/>
      </c>
      <c r="H29" s="6">
        <f>IF(A29="","",Productos!F29)</f>
        <v/>
      </c>
      <c r="I29" s="6">
        <f>IF(A29="","",IF(D29&lt;=0,"Sin stock",IF(D29&lt;=H29,"Bajo mínimo","OK")))</f>
        <v/>
      </c>
      <c r="J29" s="6">
        <f>IF(A29="","",MAX(H29*2-D29,0))</f>
        <v/>
      </c>
    </row>
    <row r="30">
      <c r="A30" s="6">
        <f>IF(Productos!A30="","",Productos!A30)</f>
        <v/>
      </c>
      <c r="B30" s="6">
        <f>IF(A30="","",Productos!B30)</f>
        <v/>
      </c>
      <c r="C30" s="6">
        <f>IF(A30="","",Productos!E30)</f>
        <v/>
      </c>
      <c r="D30" s="6">
        <f>IF(A30="","",SUMIFS(Movimientos!F:F,Movimientos!D:D,A30))</f>
        <v/>
      </c>
      <c r="E30" s="6">
        <f>IF(A30="","",SUMIFS(Movimientos!F:F,Movimientos!D:D,A30,Movimientos!E:E,"Bodega Central"))</f>
        <v/>
      </c>
      <c r="F30" s="6">
        <f>IF(A30="","",SUMIFS(Movimientos!F:F,Movimientos!D:D,A30,Movimientos!E:E,"Bodega Transitoria Cocina"))</f>
        <v/>
      </c>
      <c r="G30" s="6">
        <f>IF(A30="","",SUMIFS(Movimientos!F:F,Movimientos!D:D,A30,Movimientos!E:E,"Bodega Transitoria Bar"))</f>
        <v/>
      </c>
      <c r="H30" s="6">
        <f>IF(A30="","",Productos!F30)</f>
        <v/>
      </c>
      <c r="I30" s="6">
        <f>IF(A30="","",IF(D30&lt;=0,"Sin stock",IF(D30&lt;=H30,"Bajo mínimo","OK")))</f>
        <v/>
      </c>
      <c r="J30" s="6">
        <f>IF(A30="","",MAX(H30*2-D30,0))</f>
        <v/>
      </c>
    </row>
    <row r="31">
      <c r="A31" s="6">
        <f>IF(Productos!A31="","",Productos!A31)</f>
        <v/>
      </c>
      <c r="B31" s="6">
        <f>IF(A31="","",Productos!B31)</f>
        <v/>
      </c>
      <c r="C31" s="6">
        <f>IF(A31="","",Productos!E31)</f>
        <v/>
      </c>
      <c r="D31" s="6">
        <f>IF(A31="","",SUMIFS(Movimientos!F:F,Movimientos!D:D,A31))</f>
        <v/>
      </c>
      <c r="E31" s="6">
        <f>IF(A31="","",SUMIFS(Movimientos!F:F,Movimientos!D:D,A31,Movimientos!E:E,"Bodega Central"))</f>
        <v/>
      </c>
      <c r="F31" s="6">
        <f>IF(A31="","",SUMIFS(Movimientos!F:F,Movimientos!D:D,A31,Movimientos!E:E,"Bodega Transitoria Cocina"))</f>
        <v/>
      </c>
      <c r="G31" s="6">
        <f>IF(A31="","",SUMIFS(Movimientos!F:F,Movimientos!D:D,A31,Movimientos!E:E,"Bodega Transitoria Bar"))</f>
        <v/>
      </c>
      <c r="H31" s="6">
        <f>IF(A31="","",Productos!F31)</f>
        <v/>
      </c>
      <c r="I31" s="6">
        <f>IF(A31="","",IF(D31&lt;=0,"Sin stock",IF(D31&lt;=H31,"Bajo mínimo","OK")))</f>
        <v/>
      </c>
      <c r="J31" s="6">
        <f>IF(A31="","",MAX(H31*2-D31,0))</f>
        <v/>
      </c>
    </row>
    <row r="32">
      <c r="A32" s="6">
        <f>IF(Productos!A32="","",Productos!A32)</f>
        <v/>
      </c>
      <c r="B32" s="6">
        <f>IF(A32="","",Productos!B32)</f>
        <v/>
      </c>
      <c r="C32" s="6">
        <f>IF(A32="","",Productos!E32)</f>
        <v/>
      </c>
      <c r="D32" s="6">
        <f>IF(A32="","",SUMIFS(Movimientos!F:F,Movimientos!D:D,A32))</f>
        <v/>
      </c>
      <c r="E32" s="6">
        <f>IF(A32="","",SUMIFS(Movimientos!F:F,Movimientos!D:D,A32,Movimientos!E:E,"Bodega Central"))</f>
        <v/>
      </c>
      <c r="F32" s="6">
        <f>IF(A32="","",SUMIFS(Movimientos!F:F,Movimientos!D:D,A32,Movimientos!E:E,"Bodega Transitoria Cocina"))</f>
        <v/>
      </c>
      <c r="G32" s="6">
        <f>IF(A32="","",SUMIFS(Movimientos!F:F,Movimientos!D:D,A32,Movimientos!E:E,"Bodega Transitoria Bar"))</f>
        <v/>
      </c>
      <c r="H32" s="6">
        <f>IF(A32="","",Productos!F32)</f>
        <v/>
      </c>
      <c r="I32" s="6">
        <f>IF(A32="","",IF(D32&lt;=0,"Sin stock",IF(D32&lt;=H32,"Bajo mínimo","OK")))</f>
        <v/>
      </c>
      <c r="J32" s="6">
        <f>IF(A32="","",MAX(H32*2-D32,0))</f>
        <v/>
      </c>
    </row>
    <row r="33">
      <c r="A33" s="6">
        <f>IF(Productos!A33="","",Productos!A33)</f>
        <v/>
      </c>
      <c r="B33" s="6">
        <f>IF(A33="","",Productos!B33)</f>
        <v/>
      </c>
      <c r="C33" s="6">
        <f>IF(A33="","",Productos!E33)</f>
        <v/>
      </c>
      <c r="D33" s="6">
        <f>IF(A33="","",SUMIFS(Movimientos!F:F,Movimientos!D:D,A33))</f>
        <v/>
      </c>
      <c r="E33" s="6">
        <f>IF(A33="","",SUMIFS(Movimientos!F:F,Movimientos!D:D,A33,Movimientos!E:E,"Bodega Central"))</f>
        <v/>
      </c>
      <c r="F33" s="6">
        <f>IF(A33="","",SUMIFS(Movimientos!F:F,Movimientos!D:D,A33,Movimientos!E:E,"Bodega Transitoria Cocina"))</f>
        <v/>
      </c>
      <c r="G33" s="6">
        <f>IF(A33="","",SUMIFS(Movimientos!F:F,Movimientos!D:D,A33,Movimientos!E:E,"Bodega Transitoria Bar"))</f>
        <v/>
      </c>
      <c r="H33" s="6">
        <f>IF(A33="","",Productos!F33)</f>
        <v/>
      </c>
      <c r="I33" s="6">
        <f>IF(A33="","",IF(D33&lt;=0,"Sin stock",IF(D33&lt;=H33,"Bajo mínimo","OK")))</f>
        <v/>
      </c>
      <c r="J33" s="6">
        <f>IF(A33="","",MAX(H33*2-D33,0))</f>
        <v/>
      </c>
    </row>
    <row r="34">
      <c r="A34" s="6">
        <f>IF(Productos!A34="","",Productos!A34)</f>
        <v/>
      </c>
      <c r="B34" s="6">
        <f>IF(A34="","",Productos!B34)</f>
        <v/>
      </c>
      <c r="C34" s="6">
        <f>IF(A34="","",Productos!E34)</f>
        <v/>
      </c>
      <c r="D34" s="6">
        <f>IF(A34="","",SUMIFS(Movimientos!F:F,Movimientos!D:D,A34))</f>
        <v/>
      </c>
      <c r="E34" s="6">
        <f>IF(A34="","",SUMIFS(Movimientos!F:F,Movimientos!D:D,A34,Movimientos!E:E,"Bodega Central"))</f>
        <v/>
      </c>
      <c r="F34" s="6">
        <f>IF(A34="","",SUMIFS(Movimientos!F:F,Movimientos!D:D,A34,Movimientos!E:E,"Bodega Transitoria Cocina"))</f>
        <v/>
      </c>
      <c r="G34" s="6">
        <f>IF(A34="","",SUMIFS(Movimientos!F:F,Movimientos!D:D,A34,Movimientos!E:E,"Bodega Transitoria Bar"))</f>
        <v/>
      </c>
      <c r="H34" s="6">
        <f>IF(A34="","",Productos!F34)</f>
        <v/>
      </c>
      <c r="I34" s="6">
        <f>IF(A34="","",IF(D34&lt;=0,"Sin stock",IF(D34&lt;=H34,"Bajo mínimo","OK")))</f>
        <v/>
      </c>
      <c r="J34" s="6">
        <f>IF(A34="","",MAX(H34*2-D34,0))</f>
        <v/>
      </c>
    </row>
    <row r="35">
      <c r="A35" s="6">
        <f>IF(Productos!A35="","",Productos!A35)</f>
        <v/>
      </c>
      <c r="B35" s="6">
        <f>IF(A35="","",Productos!B35)</f>
        <v/>
      </c>
      <c r="C35" s="6">
        <f>IF(A35="","",Productos!E35)</f>
        <v/>
      </c>
      <c r="D35" s="6">
        <f>IF(A35="","",SUMIFS(Movimientos!F:F,Movimientos!D:D,A35))</f>
        <v/>
      </c>
      <c r="E35" s="6">
        <f>IF(A35="","",SUMIFS(Movimientos!F:F,Movimientos!D:D,A35,Movimientos!E:E,"Bodega Central"))</f>
        <v/>
      </c>
      <c r="F35" s="6">
        <f>IF(A35="","",SUMIFS(Movimientos!F:F,Movimientos!D:D,A35,Movimientos!E:E,"Bodega Transitoria Cocina"))</f>
        <v/>
      </c>
      <c r="G35" s="6">
        <f>IF(A35="","",SUMIFS(Movimientos!F:F,Movimientos!D:D,A35,Movimientos!E:E,"Bodega Transitoria Bar"))</f>
        <v/>
      </c>
      <c r="H35" s="6">
        <f>IF(A35="","",Productos!F35)</f>
        <v/>
      </c>
      <c r="I35" s="6">
        <f>IF(A35="","",IF(D35&lt;=0,"Sin stock",IF(D35&lt;=H35,"Bajo mínimo","OK")))</f>
        <v/>
      </c>
      <c r="J35" s="6">
        <f>IF(A35="","",MAX(H35*2-D35,0))</f>
        <v/>
      </c>
    </row>
    <row r="36">
      <c r="A36" s="6">
        <f>IF(Productos!A36="","",Productos!A36)</f>
        <v/>
      </c>
      <c r="B36" s="6">
        <f>IF(A36="","",Productos!B36)</f>
        <v/>
      </c>
      <c r="C36" s="6">
        <f>IF(A36="","",Productos!E36)</f>
        <v/>
      </c>
      <c r="D36" s="6">
        <f>IF(A36="","",SUMIFS(Movimientos!F:F,Movimientos!D:D,A36))</f>
        <v/>
      </c>
      <c r="E36" s="6">
        <f>IF(A36="","",SUMIFS(Movimientos!F:F,Movimientos!D:D,A36,Movimientos!E:E,"Bodega Central"))</f>
        <v/>
      </c>
      <c r="F36" s="6">
        <f>IF(A36="","",SUMIFS(Movimientos!F:F,Movimientos!D:D,A36,Movimientos!E:E,"Bodega Transitoria Cocina"))</f>
        <v/>
      </c>
      <c r="G36" s="6">
        <f>IF(A36="","",SUMIFS(Movimientos!F:F,Movimientos!D:D,A36,Movimientos!E:E,"Bodega Transitoria Bar"))</f>
        <v/>
      </c>
      <c r="H36" s="6">
        <f>IF(A36="","",Productos!F36)</f>
        <v/>
      </c>
      <c r="I36" s="6">
        <f>IF(A36="","",IF(D36&lt;=0,"Sin stock",IF(D36&lt;=H36,"Bajo mínimo","OK")))</f>
        <v/>
      </c>
      <c r="J36" s="6">
        <f>IF(A36="","",MAX(H36*2-D36,0))</f>
        <v/>
      </c>
    </row>
    <row r="37">
      <c r="A37" s="6">
        <f>IF(Productos!A37="","",Productos!A37)</f>
        <v/>
      </c>
      <c r="B37" s="6">
        <f>IF(A37="","",Productos!B37)</f>
        <v/>
      </c>
      <c r="C37" s="6">
        <f>IF(A37="","",Productos!E37)</f>
        <v/>
      </c>
      <c r="D37" s="6">
        <f>IF(A37="","",SUMIFS(Movimientos!F:F,Movimientos!D:D,A37))</f>
        <v/>
      </c>
      <c r="E37" s="6">
        <f>IF(A37="","",SUMIFS(Movimientos!F:F,Movimientos!D:D,A37,Movimientos!E:E,"Bodega Central"))</f>
        <v/>
      </c>
      <c r="F37" s="6">
        <f>IF(A37="","",SUMIFS(Movimientos!F:F,Movimientos!D:D,A37,Movimientos!E:E,"Bodega Transitoria Cocina"))</f>
        <v/>
      </c>
      <c r="G37" s="6">
        <f>IF(A37="","",SUMIFS(Movimientos!F:F,Movimientos!D:D,A37,Movimientos!E:E,"Bodega Transitoria Bar"))</f>
        <v/>
      </c>
      <c r="H37" s="6">
        <f>IF(A37="","",Productos!F37)</f>
        <v/>
      </c>
      <c r="I37" s="6">
        <f>IF(A37="","",IF(D37&lt;=0,"Sin stock",IF(D37&lt;=H37,"Bajo mínimo","OK")))</f>
        <v/>
      </c>
      <c r="J37" s="6">
        <f>IF(A37="","",MAX(H37*2-D37,0))</f>
        <v/>
      </c>
    </row>
    <row r="38">
      <c r="A38" s="6">
        <f>IF(Productos!A38="","",Productos!A38)</f>
        <v/>
      </c>
      <c r="B38" s="6">
        <f>IF(A38="","",Productos!B38)</f>
        <v/>
      </c>
      <c r="C38" s="6">
        <f>IF(A38="","",Productos!E38)</f>
        <v/>
      </c>
      <c r="D38" s="6">
        <f>IF(A38="","",SUMIFS(Movimientos!F:F,Movimientos!D:D,A38))</f>
        <v/>
      </c>
      <c r="E38" s="6">
        <f>IF(A38="","",SUMIFS(Movimientos!F:F,Movimientos!D:D,A38,Movimientos!E:E,"Bodega Central"))</f>
        <v/>
      </c>
      <c r="F38" s="6">
        <f>IF(A38="","",SUMIFS(Movimientos!F:F,Movimientos!D:D,A38,Movimientos!E:E,"Bodega Transitoria Cocina"))</f>
        <v/>
      </c>
      <c r="G38" s="6">
        <f>IF(A38="","",SUMIFS(Movimientos!F:F,Movimientos!D:D,A38,Movimientos!E:E,"Bodega Transitoria Bar"))</f>
        <v/>
      </c>
      <c r="H38" s="6">
        <f>IF(A38="","",Productos!F38)</f>
        <v/>
      </c>
      <c r="I38" s="6">
        <f>IF(A38="","",IF(D38&lt;=0,"Sin stock",IF(D38&lt;=H38,"Bajo mínimo","OK")))</f>
        <v/>
      </c>
      <c r="J38" s="6">
        <f>IF(A38="","",MAX(H38*2-D38,0))</f>
        <v/>
      </c>
    </row>
    <row r="39">
      <c r="A39" s="6">
        <f>IF(Productos!A39="","",Productos!A39)</f>
        <v/>
      </c>
      <c r="B39" s="6">
        <f>IF(A39="","",Productos!B39)</f>
        <v/>
      </c>
      <c r="C39" s="6">
        <f>IF(A39="","",Productos!E39)</f>
        <v/>
      </c>
      <c r="D39" s="6">
        <f>IF(A39="","",SUMIFS(Movimientos!F:F,Movimientos!D:D,A39))</f>
        <v/>
      </c>
      <c r="E39" s="6">
        <f>IF(A39="","",SUMIFS(Movimientos!F:F,Movimientos!D:D,A39,Movimientos!E:E,"Bodega Central"))</f>
        <v/>
      </c>
      <c r="F39" s="6">
        <f>IF(A39="","",SUMIFS(Movimientos!F:F,Movimientos!D:D,A39,Movimientos!E:E,"Bodega Transitoria Cocina"))</f>
        <v/>
      </c>
      <c r="G39" s="6">
        <f>IF(A39="","",SUMIFS(Movimientos!F:F,Movimientos!D:D,A39,Movimientos!E:E,"Bodega Transitoria Bar"))</f>
        <v/>
      </c>
      <c r="H39" s="6">
        <f>IF(A39="","",Productos!F39)</f>
        <v/>
      </c>
      <c r="I39" s="6">
        <f>IF(A39="","",IF(D39&lt;=0,"Sin stock",IF(D39&lt;=H39,"Bajo mínimo","OK")))</f>
        <v/>
      </c>
      <c r="J39" s="6">
        <f>IF(A39="","",MAX(H39*2-D39,0))</f>
        <v/>
      </c>
    </row>
    <row r="40">
      <c r="A40" s="6">
        <f>IF(Productos!A40="","",Productos!A40)</f>
        <v/>
      </c>
      <c r="B40" s="6">
        <f>IF(A40="","",Productos!B40)</f>
        <v/>
      </c>
      <c r="C40" s="6">
        <f>IF(A40="","",Productos!E40)</f>
        <v/>
      </c>
      <c r="D40" s="6">
        <f>IF(A40="","",SUMIFS(Movimientos!F:F,Movimientos!D:D,A40))</f>
        <v/>
      </c>
      <c r="E40" s="6">
        <f>IF(A40="","",SUMIFS(Movimientos!F:F,Movimientos!D:D,A40,Movimientos!E:E,"Bodega Central"))</f>
        <v/>
      </c>
      <c r="F40" s="6">
        <f>IF(A40="","",SUMIFS(Movimientos!F:F,Movimientos!D:D,A40,Movimientos!E:E,"Bodega Transitoria Cocina"))</f>
        <v/>
      </c>
      <c r="G40" s="6">
        <f>IF(A40="","",SUMIFS(Movimientos!F:F,Movimientos!D:D,A40,Movimientos!E:E,"Bodega Transitoria Bar"))</f>
        <v/>
      </c>
      <c r="H40" s="6">
        <f>IF(A40="","",Productos!F40)</f>
        <v/>
      </c>
      <c r="I40" s="6">
        <f>IF(A40="","",IF(D40&lt;=0,"Sin stock",IF(D40&lt;=H40,"Bajo mínimo","OK")))</f>
        <v/>
      </c>
      <c r="J40" s="6">
        <f>IF(A40="","",MAX(H40*2-D40,0))</f>
        <v/>
      </c>
    </row>
    <row r="41">
      <c r="A41" s="6">
        <f>IF(Productos!A41="","",Productos!A41)</f>
        <v/>
      </c>
      <c r="B41" s="6">
        <f>IF(A41="","",Productos!B41)</f>
        <v/>
      </c>
      <c r="C41" s="6">
        <f>IF(A41="","",Productos!E41)</f>
        <v/>
      </c>
      <c r="D41" s="6">
        <f>IF(A41="","",SUMIFS(Movimientos!F:F,Movimientos!D:D,A41))</f>
        <v/>
      </c>
      <c r="E41" s="6">
        <f>IF(A41="","",SUMIFS(Movimientos!F:F,Movimientos!D:D,A41,Movimientos!E:E,"Bodega Central"))</f>
        <v/>
      </c>
      <c r="F41" s="6">
        <f>IF(A41="","",SUMIFS(Movimientos!F:F,Movimientos!D:D,A41,Movimientos!E:E,"Bodega Transitoria Cocina"))</f>
        <v/>
      </c>
      <c r="G41" s="6">
        <f>IF(A41="","",SUMIFS(Movimientos!F:F,Movimientos!D:D,A41,Movimientos!E:E,"Bodega Transitoria Bar"))</f>
        <v/>
      </c>
      <c r="H41" s="6">
        <f>IF(A41="","",Productos!F41)</f>
        <v/>
      </c>
      <c r="I41" s="6">
        <f>IF(A41="","",IF(D41&lt;=0,"Sin stock",IF(D41&lt;=H41,"Bajo mínimo","OK")))</f>
        <v/>
      </c>
      <c r="J41" s="6">
        <f>IF(A41="","",MAX(H41*2-D41,0))</f>
        <v/>
      </c>
    </row>
    <row r="42">
      <c r="A42" s="6">
        <f>IF(Productos!A42="","",Productos!A42)</f>
        <v/>
      </c>
      <c r="B42" s="6">
        <f>IF(A42="","",Productos!B42)</f>
        <v/>
      </c>
      <c r="C42" s="6">
        <f>IF(A42="","",Productos!E42)</f>
        <v/>
      </c>
      <c r="D42" s="6">
        <f>IF(A42="","",SUMIFS(Movimientos!F:F,Movimientos!D:D,A42))</f>
        <v/>
      </c>
      <c r="E42" s="6">
        <f>IF(A42="","",SUMIFS(Movimientos!F:F,Movimientos!D:D,A42,Movimientos!E:E,"Bodega Central"))</f>
        <v/>
      </c>
      <c r="F42" s="6">
        <f>IF(A42="","",SUMIFS(Movimientos!F:F,Movimientos!D:D,A42,Movimientos!E:E,"Bodega Transitoria Cocina"))</f>
        <v/>
      </c>
      <c r="G42" s="6">
        <f>IF(A42="","",SUMIFS(Movimientos!F:F,Movimientos!D:D,A42,Movimientos!E:E,"Bodega Transitoria Bar"))</f>
        <v/>
      </c>
      <c r="H42" s="6">
        <f>IF(A42="","",Productos!F42)</f>
        <v/>
      </c>
      <c r="I42" s="6">
        <f>IF(A42="","",IF(D42&lt;=0,"Sin stock",IF(D42&lt;=H42,"Bajo mínimo","OK")))</f>
        <v/>
      </c>
      <c r="J42" s="6">
        <f>IF(A42="","",MAX(H42*2-D42,0))</f>
        <v/>
      </c>
    </row>
    <row r="43">
      <c r="A43" s="6">
        <f>IF(Productos!A43="","",Productos!A43)</f>
        <v/>
      </c>
      <c r="B43" s="6">
        <f>IF(A43="","",Productos!B43)</f>
        <v/>
      </c>
      <c r="C43" s="6">
        <f>IF(A43="","",Productos!E43)</f>
        <v/>
      </c>
      <c r="D43" s="6">
        <f>IF(A43="","",SUMIFS(Movimientos!F:F,Movimientos!D:D,A43))</f>
        <v/>
      </c>
      <c r="E43" s="6">
        <f>IF(A43="","",SUMIFS(Movimientos!F:F,Movimientos!D:D,A43,Movimientos!E:E,"Bodega Central"))</f>
        <v/>
      </c>
      <c r="F43" s="6">
        <f>IF(A43="","",SUMIFS(Movimientos!F:F,Movimientos!D:D,A43,Movimientos!E:E,"Bodega Transitoria Cocina"))</f>
        <v/>
      </c>
      <c r="G43" s="6">
        <f>IF(A43="","",SUMIFS(Movimientos!F:F,Movimientos!D:D,A43,Movimientos!E:E,"Bodega Transitoria Bar"))</f>
        <v/>
      </c>
      <c r="H43" s="6">
        <f>IF(A43="","",Productos!F43)</f>
        <v/>
      </c>
      <c r="I43" s="6">
        <f>IF(A43="","",IF(D43&lt;=0,"Sin stock",IF(D43&lt;=H43,"Bajo mínimo","OK")))</f>
        <v/>
      </c>
      <c r="J43" s="6">
        <f>IF(A43="","",MAX(H43*2-D43,0))</f>
        <v/>
      </c>
    </row>
    <row r="44">
      <c r="A44" s="6">
        <f>IF(Productos!A44="","",Productos!A44)</f>
        <v/>
      </c>
      <c r="B44" s="6">
        <f>IF(A44="","",Productos!B44)</f>
        <v/>
      </c>
      <c r="C44" s="6">
        <f>IF(A44="","",Productos!E44)</f>
        <v/>
      </c>
      <c r="D44" s="6">
        <f>IF(A44="","",SUMIFS(Movimientos!F:F,Movimientos!D:D,A44))</f>
        <v/>
      </c>
      <c r="E44" s="6">
        <f>IF(A44="","",SUMIFS(Movimientos!F:F,Movimientos!D:D,A44,Movimientos!E:E,"Bodega Central"))</f>
        <v/>
      </c>
      <c r="F44" s="6">
        <f>IF(A44="","",SUMIFS(Movimientos!F:F,Movimientos!D:D,A44,Movimientos!E:E,"Bodega Transitoria Cocina"))</f>
        <v/>
      </c>
      <c r="G44" s="6">
        <f>IF(A44="","",SUMIFS(Movimientos!F:F,Movimientos!D:D,A44,Movimientos!E:E,"Bodega Transitoria Bar"))</f>
        <v/>
      </c>
      <c r="H44" s="6">
        <f>IF(A44="","",Productos!F44)</f>
        <v/>
      </c>
      <c r="I44" s="6">
        <f>IF(A44="","",IF(D44&lt;=0,"Sin stock",IF(D44&lt;=H44,"Bajo mínimo","OK")))</f>
        <v/>
      </c>
      <c r="J44" s="6">
        <f>IF(A44="","",MAX(H44*2-D44,0))</f>
        <v/>
      </c>
    </row>
    <row r="45">
      <c r="A45" s="6">
        <f>IF(Productos!A45="","",Productos!A45)</f>
        <v/>
      </c>
      <c r="B45" s="6">
        <f>IF(A45="","",Productos!B45)</f>
        <v/>
      </c>
      <c r="C45" s="6">
        <f>IF(A45="","",Productos!E45)</f>
        <v/>
      </c>
      <c r="D45" s="6">
        <f>IF(A45="","",SUMIFS(Movimientos!F:F,Movimientos!D:D,A45))</f>
        <v/>
      </c>
      <c r="E45" s="6">
        <f>IF(A45="","",SUMIFS(Movimientos!F:F,Movimientos!D:D,A45,Movimientos!E:E,"Bodega Central"))</f>
        <v/>
      </c>
      <c r="F45" s="6">
        <f>IF(A45="","",SUMIFS(Movimientos!F:F,Movimientos!D:D,A45,Movimientos!E:E,"Bodega Transitoria Cocina"))</f>
        <v/>
      </c>
      <c r="G45" s="6">
        <f>IF(A45="","",SUMIFS(Movimientos!F:F,Movimientos!D:D,A45,Movimientos!E:E,"Bodega Transitoria Bar"))</f>
        <v/>
      </c>
      <c r="H45" s="6">
        <f>IF(A45="","",Productos!F45)</f>
        <v/>
      </c>
      <c r="I45" s="6">
        <f>IF(A45="","",IF(D45&lt;=0,"Sin stock",IF(D45&lt;=H45,"Bajo mínimo","OK")))</f>
        <v/>
      </c>
      <c r="J45" s="6">
        <f>IF(A45="","",MAX(H45*2-D45,0))</f>
        <v/>
      </c>
    </row>
    <row r="46">
      <c r="A46" s="6">
        <f>IF(Productos!A46="","",Productos!A46)</f>
        <v/>
      </c>
      <c r="B46" s="6">
        <f>IF(A46="","",Productos!B46)</f>
        <v/>
      </c>
      <c r="C46" s="6">
        <f>IF(A46="","",Productos!E46)</f>
        <v/>
      </c>
      <c r="D46" s="6">
        <f>IF(A46="","",SUMIFS(Movimientos!F:F,Movimientos!D:D,A46))</f>
        <v/>
      </c>
      <c r="E46" s="6">
        <f>IF(A46="","",SUMIFS(Movimientos!F:F,Movimientos!D:D,A46,Movimientos!E:E,"Bodega Central"))</f>
        <v/>
      </c>
      <c r="F46" s="6">
        <f>IF(A46="","",SUMIFS(Movimientos!F:F,Movimientos!D:D,A46,Movimientos!E:E,"Bodega Transitoria Cocina"))</f>
        <v/>
      </c>
      <c r="G46" s="6">
        <f>IF(A46="","",SUMIFS(Movimientos!F:F,Movimientos!D:D,A46,Movimientos!E:E,"Bodega Transitoria Bar"))</f>
        <v/>
      </c>
      <c r="H46" s="6">
        <f>IF(A46="","",Productos!F46)</f>
        <v/>
      </c>
      <c r="I46" s="6">
        <f>IF(A46="","",IF(D46&lt;=0,"Sin stock",IF(D46&lt;=H46,"Bajo mínimo","OK")))</f>
        <v/>
      </c>
      <c r="J46" s="6">
        <f>IF(A46="","",MAX(H46*2-D46,0))</f>
        <v/>
      </c>
    </row>
    <row r="47">
      <c r="A47" s="6">
        <f>IF(Productos!A47="","",Productos!A47)</f>
        <v/>
      </c>
      <c r="B47" s="6">
        <f>IF(A47="","",Productos!B47)</f>
        <v/>
      </c>
      <c r="C47" s="6">
        <f>IF(A47="","",Productos!E47)</f>
        <v/>
      </c>
      <c r="D47" s="6">
        <f>IF(A47="","",SUMIFS(Movimientos!F:F,Movimientos!D:D,A47))</f>
        <v/>
      </c>
      <c r="E47" s="6">
        <f>IF(A47="","",SUMIFS(Movimientos!F:F,Movimientos!D:D,A47,Movimientos!E:E,"Bodega Central"))</f>
        <v/>
      </c>
      <c r="F47" s="6">
        <f>IF(A47="","",SUMIFS(Movimientos!F:F,Movimientos!D:D,A47,Movimientos!E:E,"Bodega Transitoria Cocina"))</f>
        <v/>
      </c>
      <c r="G47" s="6">
        <f>IF(A47="","",SUMIFS(Movimientos!F:F,Movimientos!D:D,A47,Movimientos!E:E,"Bodega Transitoria Bar"))</f>
        <v/>
      </c>
      <c r="H47" s="6">
        <f>IF(A47="","",Productos!F47)</f>
        <v/>
      </c>
      <c r="I47" s="6">
        <f>IF(A47="","",IF(D47&lt;=0,"Sin stock",IF(D47&lt;=H47,"Bajo mínimo","OK")))</f>
        <v/>
      </c>
      <c r="J47" s="6">
        <f>IF(A47="","",MAX(H47*2-D47,0))</f>
        <v/>
      </c>
    </row>
    <row r="48">
      <c r="A48" s="6">
        <f>IF(Productos!A48="","",Productos!A48)</f>
        <v/>
      </c>
      <c r="B48" s="6">
        <f>IF(A48="","",Productos!B48)</f>
        <v/>
      </c>
      <c r="C48" s="6">
        <f>IF(A48="","",Productos!E48)</f>
        <v/>
      </c>
      <c r="D48" s="6">
        <f>IF(A48="","",SUMIFS(Movimientos!F:F,Movimientos!D:D,A48))</f>
        <v/>
      </c>
      <c r="E48" s="6">
        <f>IF(A48="","",SUMIFS(Movimientos!F:F,Movimientos!D:D,A48,Movimientos!E:E,"Bodega Central"))</f>
        <v/>
      </c>
      <c r="F48" s="6">
        <f>IF(A48="","",SUMIFS(Movimientos!F:F,Movimientos!D:D,A48,Movimientos!E:E,"Bodega Transitoria Cocina"))</f>
        <v/>
      </c>
      <c r="G48" s="6">
        <f>IF(A48="","",SUMIFS(Movimientos!F:F,Movimientos!D:D,A48,Movimientos!E:E,"Bodega Transitoria Bar"))</f>
        <v/>
      </c>
      <c r="H48" s="6">
        <f>IF(A48="","",Productos!F48)</f>
        <v/>
      </c>
      <c r="I48" s="6">
        <f>IF(A48="","",IF(D48&lt;=0,"Sin stock",IF(D48&lt;=H48,"Bajo mínimo","OK")))</f>
        <v/>
      </c>
      <c r="J48" s="6">
        <f>IF(A48="","",MAX(H48*2-D48,0))</f>
        <v/>
      </c>
    </row>
    <row r="49">
      <c r="A49" s="6">
        <f>IF(Productos!A49="","",Productos!A49)</f>
        <v/>
      </c>
      <c r="B49" s="6">
        <f>IF(A49="","",Productos!B49)</f>
        <v/>
      </c>
      <c r="C49" s="6">
        <f>IF(A49="","",Productos!E49)</f>
        <v/>
      </c>
      <c r="D49" s="6">
        <f>IF(A49="","",SUMIFS(Movimientos!F:F,Movimientos!D:D,A49))</f>
        <v/>
      </c>
      <c r="E49" s="6">
        <f>IF(A49="","",SUMIFS(Movimientos!F:F,Movimientos!D:D,A49,Movimientos!E:E,"Bodega Central"))</f>
        <v/>
      </c>
      <c r="F49" s="6">
        <f>IF(A49="","",SUMIFS(Movimientos!F:F,Movimientos!D:D,A49,Movimientos!E:E,"Bodega Transitoria Cocina"))</f>
        <v/>
      </c>
      <c r="G49" s="6">
        <f>IF(A49="","",SUMIFS(Movimientos!F:F,Movimientos!D:D,A49,Movimientos!E:E,"Bodega Transitoria Bar"))</f>
        <v/>
      </c>
      <c r="H49" s="6">
        <f>IF(A49="","",Productos!F49)</f>
        <v/>
      </c>
      <c r="I49" s="6">
        <f>IF(A49="","",IF(D49&lt;=0,"Sin stock",IF(D49&lt;=H49,"Bajo mínimo","OK")))</f>
        <v/>
      </c>
      <c r="J49" s="6">
        <f>IF(A49="","",MAX(H49*2-D49,0))</f>
        <v/>
      </c>
    </row>
    <row r="50">
      <c r="A50" s="6">
        <f>IF(Productos!A50="","",Productos!A50)</f>
        <v/>
      </c>
      <c r="B50" s="6">
        <f>IF(A50="","",Productos!B50)</f>
        <v/>
      </c>
      <c r="C50" s="6">
        <f>IF(A50="","",Productos!E50)</f>
        <v/>
      </c>
      <c r="D50" s="6">
        <f>IF(A50="","",SUMIFS(Movimientos!F:F,Movimientos!D:D,A50))</f>
        <v/>
      </c>
      <c r="E50" s="6">
        <f>IF(A50="","",SUMIFS(Movimientos!F:F,Movimientos!D:D,A50,Movimientos!E:E,"Bodega Central"))</f>
        <v/>
      </c>
      <c r="F50" s="6">
        <f>IF(A50="","",SUMIFS(Movimientos!F:F,Movimientos!D:D,A50,Movimientos!E:E,"Bodega Transitoria Cocina"))</f>
        <v/>
      </c>
      <c r="G50" s="6">
        <f>IF(A50="","",SUMIFS(Movimientos!F:F,Movimientos!D:D,A50,Movimientos!E:E,"Bodega Transitoria Bar"))</f>
        <v/>
      </c>
      <c r="H50" s="6">
        <f>IF(A50="","",Productos!F50)</f>
        <v/>
      </c>
      <c r="I50" s="6">
        <f>IF(A50="","",IF(D50&lt;=0,"Sin stock",IF(D50&lt;=H50,"Bajo mínimo","OK")))</f>
        <v/>
      </c>
      <c r="J50" s="6">
        <f>IF(A50="","",MAX(H50*2-D50,0))</f>
        <v/>
      </c>
    </row>
    <row r="51">
      <c r="A51" s="6">
        <f>IF(Productos!A51="","",Productos!A51)</f>
        <v/>
      </c>
      <c r="B51" s="6">
        <f>IF(A51="","",Productos!B51)</f>
        <v/>
      </c>
      <c r="C51" s="6">
        <f>IF(A51="","",Productos!E51)</f>
        <v/>
      </c>
      <c r="D51" s="6">
        <f>IF(A51="","",SUMIFS(Movimientos!F:F,Movimientos!D:D,A51))</f>
        <v/>
      </c>
      <c r="E51" s="6">
        <f>IF(A51="","",SUMIFS(Movimientos!F:F,Movimientos!D:D,A51,Movimientos!E:E,"Bodega Central"))</f>
        <v/>
      </c>
      <c r="F51" s="6">
        <f>IF(A51="","",SUMIFS(Movimientos!F:F,Movimientos!D:D,A51,Movimientos!E:E,"Bodega Transitoria Cocina"))</f>
        <v/>
      </c>
      <c r="G51" s="6">
        <f>IF(A51="","",SUMIFS(Movimientos!F:F,Movimientos!D:D,A51,Movimientos!E:E,"Bodega Transitoria Bar"))</f>
        <v/>
      </c>
      <c r="H51" s="6">
        <f>IF(A51="","",Productos!F51)</f>
        <v/>
      </c>
      <c r="I51" s="6">
        <f>IF(A51="","",IF(D51&lt;=0,"Sin stock",IF(D51&lt;=H51,"Bajo mínimo","OK")))</f>
        <v/>
      </c>
      <c r="J51" s="6">
        <f>IF(A51="","",MAX(H51*2-D51,0))</f>
        <v/>
      </c>
    </row>
    <row r="52">
      <c r="A52" s="6">
        <f>IF(Productos!A52="","",Productos!A52)</f>
        <v/>
      </c>
      <c r="B52" s="6">
        <f>IF(A52="","",Productos!B52)</f>
        <v/>
      </c>
      <c r="C52" s="6">
        <f>IF(A52="","",Productos!E52)</f>
        <v/>
      </c>
      <c r="D52" s="6">
        <f>IF(A52="","",SUMIFS(Movimientos!F:F,Movimientos!D:D,A52))</f>
        <v/>
      </c>
      <c r="E52" s="6">
        <f>IF(A52="","",SUMIFS(Movimientos!F:F,Movimientos!D:D,A52,Movimientos!E:E,"Bodega Central"))</f>
        <v/>
      </c>
      <c r="F52" s="6">
        <f>IF(A52="","",SUMIFS(Movimientos!F:F,Movimientos!D:D,A52,Movimientos!E:E,"Bodega Transitoria Cocina"))</f>
        <v/>
      </c>
      <c r="G52" s="6">
        <f>IF(A52="","",SUMIFS(Movimientos!F:F,Movimientos!D:D,A52,Movimientos!E:E,"Bodega Transitoria Bar"))</f>
        <v/>
      </c>
      <c r="H52" s="6">
        <f>IF(A52="","",Productos!F52)</f>
        <v/>
      </c>
      <c r="I52" s="6">
        <f>IF(A52="","",IF(D52&lt;=0,"Sin stock",IF(D52&lt;=H52,"Bajo mínimo","OK")))</f>
        <v/>
      </c>
      <c r="J52" s="6">
        <f>IF(A52="","",MAX(H52*2-D52,0))</f>
        <v/>
      </c>
    </row>
    <row r="53">
      <c r="A53" s="6">
        <f>IF(Productos!A53="","",Productos!A53)</f>
        <v/>
      </c>
      <c r="B53" s="6">
        <f>IF(A53="","",Productos!B53)</f>
        <v/>
      </c>
      <c r="C53" s="6">
        <f>IF(A53="","",Productos!E53)</f>
        <v/>
      </c>
      <c r="D53" s="6">
        <f>IF(A53="","",SUMIFS(Movimientos!F:F,Movimientos!D:D,A53))</f>
        <v/>
      </c>
      <c r="E53" s="6">
        <f>IF(A53="","",SUMIFS(Movimientos!F:F,Movimientos!D:D,A53,Movimientos!E:E,"Bodega Central"))</f>
        <v/>
      </c>
      <c r="F53" s="6">
        <f>IF(A53="","",SUMIFS(Movimientos!F:F,Movimientos!D:D,A53,Movimientos!E:E,"Bodega Transitoria Cocina"))</f>
        <v/>
      </c>
      <c r="G53" s="6">
        <f>IF(A53="","",SUMIFS(Movimientos!F:F,Movimientos!D:D,A53,Movimientos!E:E,"Bodega Transitoria Bar"))</f>
        <v/>
      </c>
      <c r="H53" s="6">
        <f>IF(A53="","",Productos!F53)</f>
        <v/>
      </c>
      <c r="I53" s="6">
        <f>IF(A53="","",IF(D53&lt;=0,"Sin stock",IF(D53&lt;=H53,"Bajo mínimo","OK")))</f>
        <v/>
      </c>
      <c r="J53" s="6">
        <f>IF(A53="","",MAX(H53*2-D53,0))</f>
        <v/>
      </c>
    </row>
    <row r="54">
      <c r="A54" s="6">
        <f>IF(Productos!A54="","",Productos!A54)</f>
        <v/>
      </c>
      <c r="B54" s="6">
        <f>IF(A54="","",Productos!B54)</f>
        <v/>
      </c>
      <c r="C54" s="6">
        <f>IF(A54="","",Productos!E54)</f>
        <v/>
      </c>
      <c r="D54" s="6">
        <f>IF(A54="","",SUMIFS(Movimientos!F:F,Movimientos!D:D,A54))</f>
        <v/>
      </c>
      <c r="E54" s="6">
        <f>IF(A54="","",SUMIFS(Movimientos!F:F,Movimientos!D:D,A54,Movimientos!E:E,"Bodega Central"))</f>
        <v/>
      </c>
      <c r="F54" s="6">
        <f>IF(A54="","",SUMIFS(Movimientos!F:F,Movimientos!D:D,A54,Movimientos!E:E,"Bodega Transitoria Cocina"))</f>
        <v/>
      </c>
      <c r="G54" s="6">
        <f>IF(A54="","",SUMIFS(Movimientos!F:F,Movimientos!D:D,A54,Movimientos!E:E,"Bodega Transitoria Bar"))</f>
        <v/>
      </c>
      <c r="H54" s="6">
        <f>IF(A54="","",Productos!F54)</f>
        <v/>
      </c>
      <c r="I54" s="6">
        <f>IF(A54="","",IF(D54&lt;=0,"Sin stock",IF(D54&lt;=H54,"Bajo mínimo","OK")))</f>
        <v/>
      </c>
      <c r="J54" s="6">
        <f>IF(A54="","",MAX(H54*2-D54,0))</f>
        <v/>
      </c>
    </row>
    <row r="55">
      <c r="A55" s="6">
        <f>IF(Productos!A55="","",Productos!A55)</f>
        <v/>
      </c>
      <c r="B55" s="6">
        <f>IF(A55="","",Productos!B55)</f>
        <v/>
      </c>
      <c r="C55" s="6">
        <f>IF(A55="","",Productos!E55)</f>
        <v/>
      </c>
      <c r="D55" s="6">
        <f>IF(A55="","",SUMIFS(Movimientos!F:F,Movimientos!D:D,A55))</f>
        <v/>
      </c>
      <c r="E55" s="6">
        <f>IF(A55="","",SUMIFS(Movimientos!F:F,Movimientos!D:D,A55,Movimientos!E:E,"Bodega Central"))</f>
        <v/>
      </c>
      <c r="F55" s="6">
        <f>IF(A55="","",SUMIFS(Movimientos!F:F,Movimientos!D:D,A55,Movimientos!E:E,"Bodega Transitoria Cocina"))</f>
        <v/>
      </c>
      <c r="G55" s="6">
        <f>IF(A55="","",SUMIFS(Movimientos!F:F,Movimientos!D:D,A55,Movimientos!E:E,"Bodega Transitoria Bar"))</f>
        <v/>
      </c>
      <c r="H55" s="6">
        <f>IF(A55="","",Productos!F55)</f>
        <v/>
      </c>
      <c r="I55" s="6">
        <f>IF(A55="","",IF(D55&lt;=0,"Sin stock",IF(D55&lt;=H55,"Bajo mínimo","OK")))</f>
        <v/>
      </c>
      <c r="J55" s="6">
        <f>IF(A55="","",MAX(H55*2-D55,0))</f>
        <v/>
      </c>
    </row>
    <row r="56">
      <c r="A56" s="6">
        <f>IF(Productos!A56="","",Productos!A56)</f>
        <v/>
      </c>
      <c r="B56" s="6">
        <f>IF(A56="","",Productos!B56)</f>
        <v/>
      </c>
      <c r="C56" s="6">
        <f>IF(A56="","",Productos!E56)</f>
        <v/>
      </c>
      <c r="D56" s="6">
        <f>IF(A56="","",SUMIFS(Movimientos!F:F,Movimientos!D:D,A56))</f>
        <v/>
      </c>
      <c r="E56" s="6">
        <f>IF(A56="","",SUMIFS(Movimientos!F:F,Movimientos!D:D,A56,Movimientos!E:E,"Bodega Central"))</f>
        <v/>
      </c>
      <c r="F56" s="6">
        <f>IF(A56="","",SUMIFS(Movimientos!F:F,Movimientos!D:D,A56,Movimientos!E:E,"Bodega Transitoria Cocina"))</f>
        <v/>
      </c>
      <c r="G56" s="6">
        <f>IF(A56="","",SUMIFS(Movimientos!F:F,Movimientos!D:D,A56,Movimientos!E:E,"Bodega Transitoria Bar"))</f>
        <v/>
      </c>
      <c r="H56" s="6">
        <f>IF(A56="","",Productos!F56)</f>
        <v/>
      </c>
      <c r="I56" s="6">
        <f>IF(A56="","",IF(D56&lt;=0,"Sin stock",IF(D56&lt;=H56,"Bajo mínimo","OK")))</f>
        <v/>
      </c>
      <c r="J56" s="6">
        <f>IF(A56="","",MAX(H56*2-D56,0))</f>
        <v/>
      </c>
    </row>
    <row r="57">
      <c r="A57" s="6">
        <f>IF(Productos!A57="","",Productos!A57)</f>
        <v/>
      </c>
      <c r="B57" s="6">
        <f>IF(A57="","",Productos!B57)</f>
        <v/>
      </c>
      <c r="C57" s="6">
        <f>IF(A57="","",Productos!E57)</f>
        <v/>
      </c>
      <c r="D57" s="6">
        <f>IF(A57="","",SUMIFS(Movimientos!F:F,Movimientos!D:D,A57))</f>
        <v/>
      </c>
      <c r="E57" s="6">
        <f>IF(A57="","",SUMIFS(Movimientos!F:F,Movimientos!D:D,A57,Movimientos!E:E,"Bodega Central"))</f>
        <v/>
      </c>
      <c r="F57" s="6">
        <f>IF(A57="","",SUMIFS(Movimientos!F:F,Movimientos!D:D,A57,Movimientos!E:E,"Bodega Transitoria Cocina"))</f>
        <v/>
      </c>
      <c r="G57" s="6">
        <f>IF(A57="","",SUMIFS(Movimientos!F:F,Movimientos!D:D,A57,Movimientos!E:E,"Bodega Transitoria Bar"))</f>
        <v/>
      </c>
      <c r="H57" s="6">
        <f>IF(A57="","",Productos!F57)</f>
        <v/>
      </c>
      <c r="I57" s="6">
        <f>IF(A57="","",IF(D57&lt;=0,"Sin stock",IF(D57&lt;=H57,"Bajo mínimo","OK")))</f>
        <v/>
      </c>
      <c r="J57" s="6">
        <f>IF(A57="","",MAX(H57*2-D57,0))</f>
        <v/>
      </c>
    </row>
    <row r="58">
      <c r="A58" s="6">
        <f>IF(Productos!A58="","",Productos!A58)</f>
        <v/>
      </c>
      <c r="B58" s="6">
        <f>IF(A58="","",Productos!B58)</f>
        <v/>
      </c>
      <c r="C58" s="6">
        <f>IF(A58="","",Productos!E58)</f>
        <v/>
      </c>
      <c r="D58" s="6">
        <f>IF(A58="","",SUMIFS(Movimientos!F:F,Movimientos!D:D,A58))</f>
        <v/>
      </c>
      <c r="E58" s="6">
        <f>IF(A58="","",SUMIFS(Movimientos!F:F,Movimientos!D:D,A58,Movimientos!E:E,"Bodega Central"))</f>
        <v/>
      </c>
      <c r="F58" s="6">
        <f>IF(A58="","",SUMIFS(Movimientos!F:F,Movimientos!D:D,A58,Movimientos!E:E,"Bodega Transitoria Cocina"))</f>
        <v/>
      </c>
      <c r="G58" s="6">
        <f>IF(A58="","",SUMIFS(Movimientos!F:F,Movimientos!D:D,A58,Movimientos!E:E,"Bodega Transitoria Bar"))</f>
        <v/>
      </c>
      <c r="H58" s="6">
        <f>IF(A58="","",Productos!F58)</f>
        <v/>
      </c>
      <c r="I58" s="6">
        <f>IF(A58="","",IF(D58&lt;=0,"Sin stock",IF(D58&lt;=H58,"Bajo mínimo","OK")))</f>
        <v/>
      </c>
      <c r="J58" s="6">
        <f>IF(A58="","",MAX(H58*2-D58,0))</f>
        <v/>
      </c>
    </row>
    <row r="59">
      <c r="A59" s="6">
        <f>IF(Productos!A59="","",Productos!A59)</f>
        <v/>
      </c>
      <c r="B59" s="6">
        <f>IF(A59="","",Productos!B59)</f>
        <v/>
      </c>
      <c r="C59" s="6">
        <f>IF(A59="","",Productos!E59)</f>
        <v/>
      </c>
      <c r="D59" s="6">
        <f>IF(A59="","",SUMIFS(Movimientos!F:F,Movimientos!D:D,A59))</f>
        <v/>
      </c>
      <c r="E59" s="6">
        <f>IF(A59="","",SUMIFS(Movimientos!F:F,Movimientos!D:D,A59,Movimientos!E:E,"Bodega Central"))</f>
        <v/>
      </c>
      <c r="F59" s="6">
        <f>IF(A59="","",SUMIFS(Movimientos!F:F,Movimientos!D:D,A59,Movimientos!E:E,"Bodega Transitoria Cocina"))</f>
        <v/>
      </c>
      <c r="G59" s="6">
        <f>IF(A59="","",SUMIFS(Movimientos!F:F,Movimientos!D:D,A59,Movimientos!E:E,"Bodega Transitoria Bar"))</f>
        <v/>
      </c>
      <c r="H59" s="6">
        <f>IF(A59="","",Productos!F59)</f>
        <v/>
      </c>
      <c r="I59" s="6">
        <f>IF(A59="","",IF(D59&lt;=0,"Sin stock",IF(D59&lt;=H59,"Bajo mínimo","OK")))</f>
        <v/>
      </c>
      <c r="J59" s="6">
        <f>IF(A59="","",MAX(H59*2-D59,0))</f>
        <v/>
      </c>
    </row>
    <row r="60">
      <c r="A60" s="6">
        <f>IF(Productos!A60="","",Productos!A60)</f>
        <v/>
      </c>
      <c r="B60" s="6">
        <f>IF(A60="","",Productos!B60)</f>
        <v/>
      </c>
      <c r="C60" s="6">
        <f>IF(A60="","",Productos!E60)</f>
        <v/>
      </c>
      <c r="D60" s="6">
        <f>IF(A60="","",SUMIFS(Movimientos!F:F,Movimientos!D:D,A60))</f>
        <v/>
      </c>
      <c r="E60" s="6">
        <f>IF(A60="","",SUMIFS(Movimientos!F:F,Movimientos!D:D,A60,Movimientos!E:E,"Bodega Central"))</f>
        <v/>
      </c>
      <c r="F60" s="6">
        <f>IF(A60="","",SUMIFS(Movimientos!F:F,Movimientos!D:D,A60,Movimientos!E:E,"Bodega Transitoria Cocina"))</f>
        <v/>
      </c>
      <c r="G60" s="6">
        <f>IF(A60="","",SUMIFS(Movimientos!F:F,Movimientos!D:D,A60,Movimientos!E:E,"Bodega Transitoria Bar"))</f>
        <v/>
      </c>
      <c r="H60" s="6">
        <f>IF(A60="","",Productos!F60)</f>
        <v/>
      </c>
      <c r="I60" s="6">
        <f>IF(A60="","",IF(D60&lt;=0,"Sin stock",IF(D60&lt;=H60,"Bajo mínimo","OK")))</f>
        <v/>
      </c>
      <c r="J60" s="6">
        <f>IF(A60="","",MAX(H60*2-D60,0))</f>
        <v/>
      </c>
    </row>
    <row r="61">
      <c r="A61" s="6">
        <f>IF(Productos!A61="","",Productos!A61)</f>
        <v/>
      </c>
      <c r="B61" s="6">
        <f>IF(A61="","",Productos!B61)</f>
        <v/>
      </c>
      <c r="C61" s="6">
        <f>IF(A61="","",Productos!E61)</f>
        <v/>
      </c>
      <c r="D61" s="6">
        <f>IF(A61="","",SUMIFS(Movimientos!F:F,Movimientos!D:D,A61))</f>
        <v/>
      </c>
      <c r="E61" s="6">
        <f>IF(A61="","",SUMIFS(Movimientos!F:F,Movimientos!D:D,A61,Movimientos!E:E,"Bodega Central"))</f>
        <v/>
      </c>
      <c r="F61" s="6">
        <f>IF(A61="","",SUMIFS(Movimientos!F:F,Movimientos!D:D,A61,Movimientos!E:E,"Bodega Transitoria Cocina"))</f>
        <v/>
      </c>
      <c r="G61" s="6">
        <f>IF(A61="","",SUMIFS(Movimientos!F:F,Movimientos!D:D,A61,Movimientos!E:E,"Bodega Transitoria Bar"))</f>
        <v/>
      </c>
      <c r="H61" s="6">
        <f>IF(A61="","",Productos!F61)</f>
        <v/>
      </c>
      <c r="I61" s="6">
        <f>IF(A61="","",IF(D61&lt;=0,"Sin stock",IF(D61&lt;=H61,"Bajo mínimo","OK")))</f>
        <v/>
      </c>
      <c r="J61" s="6">
        <f>IF(A61="","",MAX(H61*2-D61,0))</f>
        <v/>
      </c>
    </row>
    <row r="62">
      <c r="A62" s="6">
        <f>IF(Productos!A62="","",Productos!A62)</f>
        <v/>
      </c>
      <c r="B62" s="6">
        <f>IF(A62="","",Productos!B62)</f>
        <v/>
      </c>
      <c r="C62" s="6">
        <f>IF(A62="","",Productos!E62)</f>
        <v/>
      </c>
      <c r="D62" s="6">
        <f>IF(A62="","",SUMIFS(Movimientos!F:F,Movimientos!D:D,A62))</f>
        <v/>
      </c>
      <c r="E62" s="6">
        <f>IF(A62="","",SUMIFS(Movimientos!F:F,Movimientos!D:D,A62,Movimientos!E:E,"Bodega Central"))</f>
        <v/>
      </c>
      <c r="F62" s="6">
        <f>IF(A62="","",SUMIFS(Movimientos!F:F,Movimientos!D:D,A62,Movimientos!E:E,"Bodega Transitoria Cocina"))</f>
        <v/>
      </c>
      <c r="G62" s="6">
        <f>IF(A62="","",SUMIFS(Movimientos!F:F,Movimientos!D:D,A62,Movimientos!E:E,"Bodega Transitoria Bar"))</f>
        <v/>
      </c>
      <c r="H62" s="6">
        <f>IF(A62="","",Productos!F62)</f>
        <v/>
      </c>
      <c r="I62" s="6">
        <f>IF(A62="","",IF(D62&lt;=0,"Sin stock",IF(D62&lt;=H62,"Bajo mínimo","OK")))</f>
        <v/>
      </c>
      <c r="J62" s="6">
        <f>IF(A62="","",MAX(H62*2-D62,0))</f>
        <v/>
      </c>
    </row>
    <row r="63">
      <c r="A63" s="6">
        <f>IF(Productos!A63="","",Productos!A63)</f>
        <v/>
      </c>
      <c r="B63" s="6">
        <f>IF(A63="","",Productos!B63)</f>
        <v/>
      </c>
      <c r="C63" s="6">
        <f>IF(A63="","",Productos!E63)</f>
        <v/>
      </c>
      <c r="D63" s="6">
        <f>IF(A63="","",SUMIFS(Movimientos!F:F,Movimientos!D:D,A63))</f>
        <v/>
      </c>
      <c r="E63" s="6">
        <f>IF(A63="","",SUMIFS(Movimientos!F:F,Movimientos!D:D,A63,Movimientos!E:E,"Bodega Central"))</f>
        <v/>
      </c>
      <c r="F63" s="6">
        <f>IF(A63="","",SUMIFS(Movimientos!F:F,Movimientos!D:D,A63,Movimientos!E:E,"Bodega Transitoria Cocina"))</f>
        <v/>
      </c>
      <c r="G63" s="6">
        <f>IF(A63="","",SUMIFS(Movimientos!F:F,Movimientos!D:D,A63,Movimientos!E:E,"Bodega Transitoria Bar"))</f>
        <v/>
      </c>
      <c r="H63" s="6">
        <f>IF(A63="","",Productos!F63)</f>
        <v/>
      </c>
      <c r="I63" s="6">
        <f>IF(A63="","",IF(D63&lt;=0,"Sin stock",IF(D63&lt;=H63,"Bajo mínimo","OK")))</f>
        <v/>
      </c>
      <c r="J63" s="6">
        <f>IF(A63="","",MAX(H63*2-D63,0))</f>
        <v/>
      </c>
    </row>
    <row r="64">
      <c r="A64" s="6">
        <f>IF(Productos!A64="","",Productos!A64)</f>
        <v/>
      </c>
      <c r="B64" s="6">
        <f>IF(A64="","",Productos!B64)</f>
        <v/>
      </c>
      <c r="C64" s="6">
        <f>IF(A64="","",Productos!E64)</f>
        <v/>
      </c>
      <c r="D64" s="6">
        <f>IF(A64="","",SUMIFS(Movimientos!F:F,Movimientos!D:D,A64))</f>
        <v/>
      </c>
      <c r="E64" s="6">
        <f>IF(A64="","",SUMIFS(Movimientos!F:F,Movimientos!D:D,A64,Movimientos!E:E,"Bodega Central"))</f>
        <v/>
      </c>
      <c r="F64" s="6">
        <f>IF(A64="","",SUMIFS(Movimientos!F:F,Movimientos!D:D,A64,Movimientos!E:E,"Bodega Transitoria Cocina"))</f>
        <v/>
      </c>
      <c r="G64" s="6">
        <f>IF(A64="","",SUMIFS(Movimientos!F:F,Movimientos!D:D,A64,Movimientos!E:E,"Bodega Transitoria Bar"))</f>
        <v/>
      </c>
      <c r="H64" s="6">
        <f>IF(A64="","",Productos!F64)</f>
        <v/>
      </c>
      <c r="I64" s="6">
        <f>IF(A64="","",IF(D64&lt;=0,"Sin stock",IF(D64&lt;=H64,"Bajo mínimo","OK")))</f>
        <v/>
      </c>
      <c r="J64" s="6">
        <f>IF(A64="","",MAX(H64*2-D64,0))</f>
        <v/>
      </c>
    </row>
    <row r="65">
      <c r="A65" s="6">
        <f>IF(Productos!A65="","",Productos!A65)</f>
        <v/>
      </c>
      <c r="B65" s="6">
        <f>IF(A65="","",Productos!B65)</f>
        <v/>
      </c>
      <c r="C65" s="6">
        <f>IF(A65="","",Productos!E65)</f>
        <v/>
      </c>
      <c r="D65" s="6">
        <f>IF(A65="","",SUMIFS(Movimientos!F:F,Movimientos!D:D,A65))</f>
        <v/>
      </c>
      <c r="E65" s="6">
        <f>IF(A65="","",SUMIFS(Movimientos!F:F,Movimientos!D:D,A65,Movimientos!E:E,"Bodega Central"))</f>
        <v/>
      </c>
      <c r="F65" s="6">
        <f>IF(A65="","",SUMIFS(Movimientos!F:F,Movimientos!D:D,A65,Movimientos!E:E,"Bodega Transitoria Cocina"))</f>
        <v/>
      </c>
      <c r="G65" s="6">
        <f>IF(A65="","",SUMIFS(Movimientos!F:F,Movimientos!D:D,A65,Movimientos!E:E,"Bodega Transitoria Bar"))</f>
        <v/>
      </c>
      <c r="H65" s="6">
        <f>IF(A65="","",Productos!F65)</f>
        <v/>
      </c>
      <c r="I65" s="6">
        <f>IF(A65="","",IF(D65&lt;=0,"Sin stock",IF(D65&lt;=H65,"Bajo mínimo","OK")))</f>
        <v/>
      </c>
      <c r="J65" s="6">
        <f>IF(A65="","",MAX(H65*2-D65,0))</f>
        <v/>
      </c>
    </row>
    <row r="66">
      <c r="A66" s="6">
        <f>IF(Productos!A66="","",Productos!A66)</f>
        <v/>
      </c>
      <c r="B66" s="6">
        <f>IF(A66="","",Productos!B66)</f>
        <v/>
      </c>
      <c r="C66" s="6">
        <f>IF(A66="","",Productos!E66)</f>
        <v/>
      </c>
      <c r="D66" s="6">
        <f>IF(A66="","",SUMIFS(Movimientos!F:F,Movimientos!D:D,A66))</f>
        <v/>
      </c>
      <c r="E66" s="6">
        <f>IF(A66="","",SUMIFS(Movimientos!F:F,Movimientos!D:D,A66,Movimientos!E:E,"Bodega Central"))</f>
        <v/>
      </c>
      <c r="F66" s="6">
        <f>IF(A66="","",SUMIFS(Movimientos!F:F,Movimientos!D:D,A66,Movimientos!E:E,"Bodega Transitoria Cocina"))</f>
        <v/>
      </c>
      <c r="G66" s="6">
        <f>IF(A66="","",SUMIFS(Movimientos!F:F,Movimientos!D:D,A66,Movimientos!E:E,"Bodega Transitoria Bar"))</f>
        <v/>
      </c>
      <c r="H66" s="6">
        <f>IF(A66="","",Productos!F66)</f>
        <v/>
      </c>
      <c r="I66" s="6">
        <f>IF(A66="","",IF(D66&lt;=0,"Sin stock",IF(D66&lt;=H66,"Bajo mínimo","OK")))</f>
        <v/>
      </c>
      <c r="J66" s="6">
        <f>IF(A66="","",MAX(H66*2-D66,0))</f>
        <v/>
      </c>
    </row>
    <row r="67">
      <c r="A67" s="6">
        <f>IF(Productos!A67="","",Productos!A67)</f>
        <v/>
      </c>
      <c r="B67" s="6">
        <f>IF(A67="","",Productos!B67)</f>
        <v/>
      </c>
      <c r="C67" s="6">
        <f>IF(A67="","",Productos!E67)</f>
        <v/>
      </c>
      <c r="D67" s="6">
        <f>IF(A67="","",SUMIFS(Movimientos!F:F,Movimientos!D:D,A67))</f>
        <v/>
      </c>
      <c r="E67" s="6">
        <f>IF(A67="","",SUMIFS(Movimientos!F:F,Movimientos!D:D,A67,Movimientos!E:E,"Bodega Central"))</f>
        <v/>
      </c>
      <c r="F67" s="6">
        <f>IF(A67="","",SUMIFS(Movimientos!F:F,Movimientos!D:D,A67,Movimientos!E:E,"Bodega Transitoria Cocina"))</f>
        <v/>
      </c>
      <c r="G67" s="6">
        <f>IF(A67="","",SUMIFS(Movimientos!F:F,Movimientos!D:D,A67,Movimientos!E:E,"Bodega Transitoria Bar"))</f>
        <v/>
      </c>
      <c r="H67" s="6">
        <f>IF(A67="","",Productos!F67)</f>
        <v/>
      </c>
      <c r="I67" s="6">
        <f>IF(A67="","",IF(D67&lt;=0,"Sin stock",IF(D67&lt;=H67,"Bajo mínimo","OK")))</f>
        <v/>
      </c>
      <c r="J67" s="6">
        <f>IF(A67="","",MAX(H67*2-D67,0))</f>
        <v/>
      </c>
    </row>
    <row r="68">
      <c r="A68" s="6">
        <f>IF(Productos!A68="","",Productos!A68)</f>
        <v/>
      </c>
      <c r="B68" s="6">
        <f>IF(A68="","",Productos!B68)</f>
        <v/>
      </c>
      <c r="C68" s="6">
        <f>IF(A68="","",Productos!E68)</f>
        <v/>
      </c>
      <c r="D68" s="6">
        <f>IF(A68="","",SUMIFS(Movimientos!F:F,Movimientos!D:D,A68))</f>
        <v/>
      </c>
      <c r="E68" s="6">
        <f>IF(A68="","",SUMIFS(Movimientos!F:F,Movimientos!D:D,A68,Movimientos!E:E,"Bodega Central"))</f>
        <v/>
      </c>
      <c r="F68" s="6">
        <f>IF(A68="","",SUMIFS(Movimientos!F:F,Movimientos!D:D,A68,Movimientos!E:E,"Bodega Transitoria Cocina"))</f>
        <v/>
      </c>
      <c r="G68" s="6">
        <f>IF(A68="","",SUMIFS(Movimientos!F:F,Movimientos!D:D,A68,Movimientos!E:E,"Bodega Transitoria Bar"))</f>
        <v/>
      </c>
      <c r="H68" s="6">
        <f>IF(A68="","",Productos!F68)</f>
        <v/>
      </c>
      <c r="I68" s="6">
        <f>IF(A68="","",IF(D68&lt;=0,"Sin stock",IF(D68&lt;=H68,"Bajo mínimo","OK")))</f>
        <v/>
      </c>
      <c r="J68" s="6">
        <f>IF(A68="","",MAX(H68*2-D68,0))</f>
        <v/>
      </c>
    </row>
    <row r="69">
      <c r="A69" s="6">
        <f>IF(Productos!A69="","",Productos!A69)</f>
        <v/>
      </c>
      <c r="B69" s="6">
        <f>IF(A69="","",Productos!B69)</f>
        <v/>
      </c>
      <c r="C69" s="6">
        <f>IF(A69="","",Productos!E69)</f>
        <v/>
      </c>
      <c r="D69" s="6">
        <f>IF(A69="","",SUMIFS(Movimientos!F:F,Movimientos!D:D,A69))</f>
        <v/>
      </c>
      <c r="E69" s="6">
        <f>IF(A69="","",SUMIFS(Movimientos!F:F,Movimientos!D:D,A69,Movimientos!E:E,"Bodega Central"))</f>
        <v/>
      </c>
      <c r="F69" s="6">
        <f>IF(A69="","",SUMIFS(Movimientos!F:F,Movimientos!D:D,A69,Movimientos!E:E,"Bodega Transitoria Cocina"))</f>
        <v/>
      </c>
      <c r="G69" s="6">
        <f>IF(A69="","",SUMIFS(Movimientos!F:F,Movimientos!D:D,A69,Movimientos!E:E,"Bodega Transitoria Bar"))</f>
        <v/>
      </c>
      <c r="H69" s="6">
        <f>IF(A69="","",Productos!F69)</f>
        <v/>
      </c>
      <c r="I69" s="6">
        <f>IF(A69="","",IF(D69&lt;=0,"Sin stock",IF(D69&lt;=H69,"Bajo mínimo","OK")))</f>
        <v/>
      </c>
      <c r="J69" s="6">
        <f>IF(A69="","",MAX(H69*2-D69,0))</f>
        <v/>
      </c>
    </row>
    <row r="70">
      <c r="A70" s="6">
        <f>IF(Productos!A70="","",Productos!A70)</f>
        <v/>
      </c>
      <c r="B70" s="6">
        <f>IF(A70="","",Productos!B70)</f>
        <v/>
      </c>
      <c r="C70" s="6">
        <f>IF(A70="","",Productos!E70)</f>
        <v/>
      </c>
      <c r="D70" s="6">
        <f>IF(A70="","",SUMIFS(Movimientos!F:F,Movimientos!D:D,A70))</f>
        <v/>
      </c>
      <c r="E70" s="6">
        <f>IF(A70="","",SUMIFS(Movimientos!F:F,Movimientos!D:D,A70,Movimientos!E:E,"Bodega Central"))</f>
        <v/>
      </c>
      <c r="F70" s="6">
        <f>IF(A70="","",SUMIFS(Movimientos!F:F,Movimientos!D:D,A70,Movimientos!E:E,"Bodega Transitoria Cocina"))</f>
        <v/>
      </c>
      <c r="G70" s="6">
        <f>IF(A70="","",SUMIFS(Movimientos!F:F,Movimientos!D:D,A70,Movimientos!E:E,"Bodega Transitoria Bar"))</f>
        <v/>
      </c>
      <c r="H70" s="6">
        <f>IF(A70="","",Productos!F70)</f>
        <v/>
      </c>
      <c r="I70" s="6">
        <f>IF(A70="","",IF(D70&lt;=0,"Sin stock",IF(D70&lt;=H70,"Bajo mínimo","OK")))</f>
        <v/>
      </c>
      <c r="J70" s="6">
        <f>IF(A70="","",MAX(H70*2-D70,0))</f>
        <v/>
      </c>
    </row>
    <row r="71">
      <c r="A71" s="6">
        <f>IF(Productos!A71="","",Productos!A71)</f>
        <v/>
      </c>
      <c r="B71" s="6">
        <f>IF(A71="","",Productos!B71)</f>
        <v/>
      </c>
      <c r="C71" s="6">
        <f>IF(A71="","",Productos!E71)</f>
        <v/>
      </c>
      <c r="D71" s="6">
        <f>IF(A71="","",SUMIFS(Movimientos!F:F,Movimientos!D:D,A71))</f>
        <v/>
      </c>
      <c r="E71" s="6">
        <f>IF(A71="","",SUMIFS(Movimientos!F:F,Movimientos!D:D,A71,Movimientos!E:E,"Bodega Central"))</f>
        <v/>
      </c>
      <c r="F71" s="6">
        <f>IF(A71="","",SUMIFS(Movimientos!F:F,Movimientos!D:D,A71,Movimientos!E:E,"Bodega Transitoria Cocina"))</f>
        <v/>
      </c>
      <c r="G71" s="6">
        <f>IF(A71="","",SUMIFS(Movimientos!F:F,Movimientos!D:D,A71,Movimientos!E:E,"Bodega Transitoria Bar"))</f>
        <v/>
      </c>
      <c r="H71" s="6">
        <f>IF(A71="","",Productos!F71)</f>
        <v/>
      </c>
      <c r="I71" s="6">
        <f>IF(A71="","",IF(D71&lt;=0,"Sin stock",IF(D71&lt;=H71,"Bajo mínimo","OK")))</f>
        <v/>
      </c>
      <c r="J71" s="6">
        <f>IF(A71="","",MAX(H71*2-D71,0))</f>
        <v/>
      </c>
    </row>
    <row r="72">
      <c r="A72" s="6">
        <f>IF(Productos!A72="","",Productos!A72)</f>
        <v/>
      </c>
      <c r="B72" s="6">
        <f>IF(A72="","",Productos!B72)</f>
        <v/>
      </c>
      <c r="C72" s="6">
        <f>IF(A72="","",Productos!E72)</f>
        <v/>
      </c>
      <c r="D72" s="6">
        <f>IF(A72="","",SUMIFS(Movimientos!F:F,Movimientos!D:D,A72))</f>
        <v/>
      </c>
      <c r="E72" s="6">
        <f>IF(A72="","",SUMIFS(Movimientos!F:F,Movimientos!D:D,A72,Movimientos!E:E,"Bodega Central"))</f>
        <v/>
      </c>
      <c r="F72" s="6">
        <f>IF(A72="","",SUMIFS(Movimientos!F:F,Movimientos!D:D,A72,Movimientos!E:E,"Bodega Transitoria Cocina"))</f>
        <v/>
      </c>
      <c r="G72" s="6">
        <f>IF(A72="","",SUMIFS(Movimientos!F:F,Movimientos!D:D,A72,Movimientos!E:E,"Bodega Transitoria Bar"))</f>
        <v/>
      </c>
      <c r="H72" s="6">
        <f>IF(A72="","",Productos!F72)</f>
        <v/>
      </c>
      <c r="I72" s="6">
        <f>IF(A72="","",IF(D72&lt;=0,"Sin stock",IF(D72&lt;=H72,"Bajo mínimo","OK")))</f>
        <v/>
      </c>
      <c r="J72" s="6">
        <f>IF(A72="","",MAX(H72*2-D72,0))</f>
        <v/>
      </c>
    </row>
    <row r="73">
      <c r="A73" s="6">
        <f>IF(Productos!A73="","",Productos!A73)</f>
        <v/>
      </c>
      <c r="B73" s="6">
        <f>IF(A73="","",Productos!B73)</f>
        <v/>
      </c>
      <c r="C73" s="6">
        <f>IF(A73="","",Productos!E73)</f>
        <v/>
      </c>
      <c r="D73" s="6">
        <f>IF(A73="","",SUMIFS(Movimientos!F:F,Movimientos!D:D,A73))</f>
        <v/>
      </c>
      <c r="E73" s="6">
        <f>IF(A73="","",SUMIFS(Movimientos!F:F,Movimientos!D:D,A73,Movimientos!E:E,"Bodega Central"))</f>
        <v/>
      </c>
      <c r="F73" s="6">
        <f>IF(A73="","",SUMIFS(Movimientos!F:F,Movimientos!D:D,A73,Movimientos!E:E,"Bodega Transitoria Cocina"))</f>
        <v/>
      </c>
      <c r="G73" s="6">
        <f>IF(A73="","",SUMIFS(Movimientos!F:F,Movimientos!D:D,A73,Movimientos!E:E,"Bodega Transitoria Bar"))</f>
        <v/>
      </c>
      <c r="H73" s="6">
        <f>IF(A73="","",Productos!F73)</f>
        <v/>
      </c>
      <c r="I73" s="6">
        <f>IF(A73="","",IF(D73&lt;=0,"Sin stock",IF(D73&lt;=H73,"Bajo mínimo","OK")))</f>
        <v/>
      </c>
      <c r="J73" s="6">
        <f>IF(A73="","",MAX(H73*2-D73,0))</f>
        <v/>
      </c>
    </row>
    <row r="74">
      <c r="A74" s="6">
        <f>IF(Productos!A74="","",Productos!A74)</f>
        <v/>
      </c>
      <c r="B74" s="6">
        <f>IF(A74="","",Productos!B74)</f>
        <v/>
      </c>
      <c r="C74" s="6">
        <f>IF(A74="","",Productos!E74)</f>
        <v/>
      </c>
      <c r="D74" s="6">
        <f>IF(A74="","",SUMIFS(Movimientos!F:F,Movimientos!D:D,A74))</f>
        <v/>
      </c>
      <c r="E74" s="6">
        <f>IF(A74="","",SUMIFS(Movimientos!F:F,Movimientos!D:D,A74,Movimientos!E:E,"Bodega Central"))</f>
        <v/>
      </c>
      <c r="F74" s="6">
        <f>IF(A74="","",SUMIFS(Movimientos!F:F,Movimientos!D:D,A74,Movimientos!E:E,"Bodega Transitoria Cocina"))</f>
        <v/>
      </c>
      <c r="G74" s="6">
        <f>IF(A74="","",SUMIFS(Movimientos!F:F,Movimientos!D:D,A74,Movimientos!E:E,"Bodega Transitoria Bar"))</f>
        <v/>
      </c>
      <c r="H74" s="6">
        <f>IF(A74="","",Productos!F74)</f>
        <v/>
      </c>
      <c r="I74" s="6">
        <f>IF(A74="","",IF(D74&lt;=0,"Sin stock",IF(D74&lt;=H74,"Bajo mínimo","OK")))</f>
        <v/>
      </c>
      <c r="J74" s="6">
        <f>IF(A74="","",MAX(H74*2-D74,0))</f>
        <v/>
      </c>
    </row>
    <row r="75">
      <c r="A75" s="6">
        <f>IF(Productos!A75="","",Productos!A75)</f>
        <v/>
      </c>
      <c r="B75" s="6">
        <f>IF(A75="","",Productos!B75)</f>
        <v/>
      </c>
      <c r="C75" s="6">
        <f>IF(A75="","",Productos!E75)</f>
        <v/>
      </c>
      <c r="D75" s="6">
        <f>IF(A75="","",SUMIFS(Movimientos!F:F,Movimientos!D:D,A75))</f>
        <v/>
      </c>
      <c r="E75" s="6">
        <f>IF(A75="","",SUMIFS(Movimientos!F:F,Movimientos!D:D,A75,Movimientos!E:E,"Bodega Central"))</f>
        <v/>
      </c>
      <c r="F75" s="6">
        <f>IF(A75="","",SUMIFS(Movimientos!F:F,Movimientos!D:D,A75,Movimientos!E:E,"Bodega Transitoria Cocina"))</f>
        <v/>
      </c>
      <c r="G75" s="6">
        <f>IF(A75="","",SUMIFS(Movimientos!F:F,Movimientos!D:D,A75,Movimientos!E:E,"Bodega Transitoria Bar"))</f>
        <v/>
      </c>
      <c r="H75" s="6">
        <f>IF(A75="","",Productos!F75)</f>
        <v/>
      </c>
      <c r="I75" s="6">
        <f>IF(A75="","",IF(D75&lt;=0,"Sin stock",IF(D75&lt;=H75,"Bajo mínimo","OK")))</f>
        <v/>
      </c>
      <c r="J75" s="6">
        <f>IF(A75="","",MAX(H75*2-D75,0))</f>
        <v/>
      </c>
    </row>
    <row r="76">
      <c r="A76" s="6">
        <f>IF(Productos!A76="","",Productos!A76)</f>
        <v/>
      </c>
      <c r="B76" s="6">
        <f>IF(A76="","",Productos!B76)</f>
        <v/>
      </c>
      <c r="C76" s="6">
        <f>IF(A76="","",Productos!E76)</f>
        <v/>
      </c>
      <c r="D76" s="6">
        <f>IF(A76="","",SUMIFS(Movimientos!F:F,Movimientos!D:D,A76))</f>
        <v/>
      </c>
      <c r="E76" s="6">
        <f>IF(A76="","",SUMIFS(Movimientos!F:F,Movimientos!D:D,A76,Movimientos!E:E,"Bodega Central"))</f>
        <v/>
      </c>
      <c r="F76" s="6">
        <f>IF(A76="","",SUMIFS(Movimientos!F:F,Movimientos!D:D,A76,Movimientos!E:E,"Bodega Transitoria Cocina"))</f>
        <v/>
      </c>
      <c r="G76" s="6">
        <f>IF(A76="","",SUMIFS(Movimientos!F:F,Movimientos!D:D,A76,Movimientos!E:E,"Bodega Transitoria Bar"))</f>
        <v/>
      </c>
      <c r="H76" s="6">
        <f>IF(A76="","",Productos!F76)</f>
        <v/>
      </c>
      <c r="I76" s="6">
        <f>IF(A76="","",IF(D76&lt;=0,"Sin stock",IF(D76&lt;=H76,"Bajo mínimo","OK")))</f>
        <v/>
      </c>
      <c r="J76" s="6">
        <f>IF(A76="","",MAX(H76*2-D76,0))</f>
        <v/>
      </c>
    </row>
    <row r="77">
      <c r="A77" s="6">
        <f>IF(Productos!A77="","",Productos!A77)</f>
        <v/>
      </c>
      <c r="B77" s="6">
        <f>IF(A77="","",Productos!B77)</f>
        <v/>
      </c>
      <c r="C77" s="6">
        <f>IF(A77="","",Productos!E77)</f>
        <v/>
      </c>
      <c r="D77" s="6">
        <f>IF(A77="","",SUMIFS(Movimientos!F:F,Movimientos!D:D,A77))</f>
        <v/>
      </c>
      <c r="E77" s="6">
        <f>IF(A77="","",SUMIFS(Movimientos!F:F,Movimientos!D:D,A77,Movimientos!E:E,"Bodega Central"))</f>
        <v/>
      </c>
      <c r="F77" s="6">
        <f>IF(A77="","",SUMIFS(Movimientos!F:F,Movimientos!D:D,A77,Movimientos!E:E,"Bodega Transitoria Cocina"))</f>
        <v/>
      </c>
      <c r="G77" s="6">
        <f>IF(A77="","",SUMIFS(Movimientos!F:F,Movimientos!D:D,A77,Movimientos!E:E,"Bodega Transitoria Bar"))</f>
        <v/>
      </c>
      <c r="H77" s="6">
        <f>IF(A77="","",Productos!F77)</f>
        <v/>
      </c>
      <c r="I77" s="6">
        <f>IF(A77="","",IF(D77&lt;=0,"Sin stock",IF(D77&lt;=H77,"Bajo mínimo","OK")))</f>
        <v/>
      </c>
      <c r="J77" s="6">
        <f>IF(A77="","",MAX(H77*2-D77,0))</f>
        <v/>
      </c>
    </row>
    <row r="78">
      <c r="A78" s="6">
        <f>IF(Productos!A78="","",Productos!A78)</f>
        <v/>
      </c>
      <c r="B78" s="6">
        <f>IF(A78="","",Productos!B78)</f>
        <v/>
      </c>
      <c r="C78" s="6">
        <f>IF(A78="","",Productos!E78)</f>
        <v/>
      </c>
      <c r="D78" s="6">
        <f>IF(A78="","",SUMIFS(Movimientos!F:F,Movimientos!D:D,A78))</f>
        <v/>
      </c>
      <c r="E78" s="6">
        <f>IF(A78="","",SUMIFS(Movimientos!F:F,Movimientos!D:D,A78,Movimientos!E:E,"Bodega Central"))</f>
        <v/>
      </c>
      <c r="F78" s="6">
        <f>IF(A78="","",SUMIFS(Movimientos!F:F,Movimientos!D:D,A78,Movimientos!E:E,"Bodega Transitoria Cocina"))</f>
        <v/>
      </c>
      <c r="G78" s="6">
        <f>IF(A78="","",SUMIFS(Movimientos!F:F,Movimientos!D:D,A78,Movimientos!E:E,"Bodega Transitoria Bar"))</f>
        <v/>
      </c>
      <c r="H78" s="6">
        <f>IF(A78="","",Productos!F78)</f>
        <v/>
      </c>
      <c r="I78" s="6">
        <f>IF(A78="","",IF(D78&lt;=0,"Sin stock",IF(D78&lt;=H78,"Bajo mínimo","OK")))</f>
        <v/>
      </c>
      <c r="J78" s="6">
        <f>IF(A78="","",MAX(H78*2-D78,0))</f>
        <v/>
      </c>
    </row>
    <row r="79">
      <c r="A79" s="6">
        <f>IF(Productos!A79="","",Productos!A79)</f>
        <v/>
      </c>
      <c r="B79" s="6">
        <f>IF(A79="","",Productos!B79)</f>
        <v/>
      </c>
      <c r="C79" s="6">
        <f>IF(A79="","",Productos!E79)</f>
        <v/>
      </c>
      <c r="D79" s="6">
        <f>IF(A79="","",SUMIFS(Movimientos!F:F,Movimientos!D:D,A79))</f>
        <v/>
      </c>
      <c r="E79" s="6">
        <f>IF(A79="","",SUMIFS(Movimientos!F:F,Movimientos!D:D,A79,Movimientos!E:E,"Bodega Central"))</f>
        <v/>
      </c>
      <c r="F79" s="6">
        <f>IF(A79="","",SUMIFS(Movimientos!F:F,Movimientos!D:D,A79,Movimientos!E:E,"Bodega Transitoria Cocina"))</f>
        <v/>
      </c>
      <c r="G79" s="6">
        <f>IF(A79="","",SUMIFS(Movimientos!F:F,Movimientos!D:D,A79,Movimientos!E:E,"Bodega Transitoria Bar"))</f>
        <v/>
      </c>
      <c r="H79" s="6">
        <f>IF(A79="","",Productos!F79)</f>
        <v/>
      </c>
      <c r="I79" s="6">
        <f>IF(A79="","",IF(D79&lt;=0,"Sin stock",IF(D79&lt;=H79,"Bajo mínimo","OK")))</f>
        <v/>
      </c>
      <c r="J79" s="6">
        <f>IF(A79="","",MAX(H79*2-D79,0))</f>
        <v/>
      </c>
    </row>
    <row r="80">
      <c r="A80" s="6">
        <f>IF(Productos!A80="","",Productos!A80)</f>
        <v/>
      </c>
      <c r="B80" s="6">
        <f>IF(A80="","",Productos!B80)</f>
        <v/>
      </c>
      <c r="C80" s="6">
        <f>IF(A80="","",Productos!E80)</f>
        <v/>
      </c>
      <c r="D80" s="6">
        <f>IF(A80="","",SUMIFS(Movimientos!F:F,Movimientos!D:D,A80))</f>
        <v/>
      </c>
      <c r="E80" s="6">
        <f>IF(A80="","",SUMIFS(Movimientos!F:F,Movimientos!D:D,A80,Movimientos!E:E,"Bodega Central"))</f>
        <v/>
      </c>
      <c r="F80" s="6">
        <f>IF(A80="","",SUMIFS(Movimientos!F:F,Movimientos!D:D,A80,Movimientos!E:E,"Bodega Transitoria Cocina"))</f>
        <v/>
      </c>
      <c r="G80" s="6">
        <f>IF(A80="","",SUMIFS(Movimientos!F:F,Movimientos!D:D,A80,Movimientos!E:E,"Bodega Transitoria Bar"))</f>
        <v/>
      </c>
      <c r="H80" s="6">
        <f>IF(A80="","",Productos!F80)</f>
        <v/>
      </c>
      <c r="I80" s="6">
        <f>IF(A80="","",IF(D80&lt;=0,"Sin stock",IF(D80&lt;=H80,"Bajo mínimo","OK")))</f>
        <v/>
      </c>
      <c r="J80" s="6">
        <f>IF(A80="","",MAX(H80*2-D80,0))</f>
        <v/>
      </c>
    </row>
    <row r="81">
      <c r="A81" s="6">
        <f>IF(Productos!A81="","",Productos!A81)</f>
        <v/>
      </c>
      <c r="B81" s="6">
        <f>IF(A81="","",Productos!B81)</f>
        <v/>
      </c>
      <c r="C81" s="6">
        <f>IF(A81="","",Productos!E81)</f>
        <v/>
      </c>
      <c r="D81" s="6">
        <f>IF(A81="","",SUMIFS(Movimientos!F:F,Movimientos!D:D,A81))</f>
        <v/>
      </c>
      <c r="E81" s="6">
        <f>IF(A81="","",SUMIFS(Movimientos!F:F,Movimientos!D:D,A81,Movimientos!E:E,"Bodega Central"))</f>
        <v/>
      </c>
      <c r="F81" s="6">
        <f>IF(A81="","",SUMIFS(Movimientos!F:F,Movimientos!D:D,A81,Movimientos!E:E,"Bodega Transitoria Cocina"))</f>
        <v/>
      </c>
      <c r="G81" s="6">
        <f>IF(A81="","",SUMIFS(Movimientos!F:F,Movimientos!D:D,A81,Movimientos!E:E,"Bodega Transitoria Bar"))</f>
        <v/>
      </c>
      <c r="H81" s="6">
        <f>IF(A81="","",Productos!F81)</f>
        <v/>
      </c>
      <c r="I81" s="6">
        <f>IF(A81="","",IF(D81&lt;=0,"Sin stock",IF(D81&lt;=H81,"Bajo mínimo","OK")))</f>
        <v/>
      </c>
      <c r="J81" s="6">
        <f>IF(A81="","",MAX(H81*2-D81,0))</f>
        <v/>
      </c>
    </row>
    <row r="82">
      <c r="A82" s="6">
        <f>IF(Productos!A82="","",Productos!A82)</f>
        <v/>
      </c>
      <c r="B82" s="6">
        <f>IF(A82="","",Productos!B82)</f>
        <v/>
      </c>
      <c r="C82" s="6">
        <f>IF(A82="","",Productos!E82)</f>
        <v/>
      </c>
      <c r="D82" s="6">
        <f>IF(A82="","",SUMIFS(Movimientos!F:F,Movimientos!D:D,A82))</f>
        <v/>
      </c>
      <c r="E82" s="6">
        <f>IF(A82="","",SUMIFS(Movimientos!F:F,Movimientos!D:D,A82,Movimientos!E:E,"Bodega Central"))</f>
        <v/>
      </c>
      <c r="F82" s="6">
        <f>IF(A82="","",SUMIFS(Movimientos!F:F,Movimientos!D:D,A82,Movimientos!E:E,"Bodega Transitoria Cocina"))</f>
        <v/>
      </c>
      <c r="G82" s="6">
        <f>IF(A82="","",SUMIFS(Movimientos!F:F,Movimientos!D:D,A82,Movimientos!E:E,"Bodega Transitoria Bar"))</f>
        <v/>
      </c>
      <c r="H82" s="6">
        <f>IF(A82="","",Productos!F82)</f>
        <v/>
      </c>
      <c r="I82" s="6">
        <f>IF(A82="","",IF(D82&lt;=0,"Sin stock",IF(D82&lt;=H82,"Bajo mínimo","OK")))</f>
        <v/>
      </c>
      <c r="J82" s="6">
        <f>IF(A82="","",MAX(H82*2-D82,0))</f>
        <v/>
      </c>
    </row>
    <row r="83">
      <c r="A83" s="6">
        <f>IF(Productos!A83="","",Productos!A83)</f>
        <v/>
      </c>
      <c r="B83" s="6">
        <f>IF(A83="","",Productos!B83)</f>
        <v/>
      </c>
      <c r="C83" s="6">
        <f>IF(A83="","",Productos!E83)</f>
        <v/>
      </c>
      <c r="D83" s="6">
        <f>IF(A83="","",SUMIFS(Movimientos!F:F,Movimientos!D:D,A83))</f>
        <v/>
      </c>
      <c r="E83" s="6">
        <f>IF(A83="","",SUMIFS(Movimientos!F:F,Movimientos!D:D,A83,Movimientos!E:E,"Bodega Central"))</f>
        <v/>
      </c>
      <c r="F83" s="6">
        <f>IF(A83="","",SUMIFS(Movimientos!F:F,Movimientos!D:D,A83,Movimientos!E:E,"Bodega Transitoria Cocina"))</f>
        <v/>
      </c>
      <c r="G83" s="6">
        <f>IF(A83="","",SUMIFS(Movimientos!F:F,Movimientos!D:D,A83,Movimientos!E:E,"Bodega Transitoria Bar"))</f>
        <v/>
      </c>
      <c r="H83" s="6">
        <f>IF(A83="","",Productos!F83)</f>
        <v/>
      </c>
      <c r="I83" s="6">
        <f>IF(A83="","",IF(D83&lt;=0,"Sin stock",IF(D83&lt;=H83,"Bajo mínimo","OK")))</f>
        <v/>
      </c>
      <c r="J83" s="6">
        <f>IF(A83="","",MAX(H83*2-D83,0))</f>
        <v/>
      </c>
    </row>
    <row r="84">
      <c r="A84" s="6">
        <f>IF(Productos!A84="","",Productos!A84)</f>
        <v/>
      </c>
      <c r="B84" s="6">
        <f>IF(A84="","",Productos!B84)</f>
        <v/>
      </c>
      <c r="C84" s="6">
        <f>IF(A84="","",Productos!E84)</f>
        <v/>
      </c>
      <c r="D84" s="6">
        <f>IF(A84="","",SUMIFS(Movimientos!F:F,Movimientos!D:D,A84))</f>
        <v/>
      </c>
      <c r="E84" s="6">
        <f>IF(A84="","",SUMIFS(Movimientos!F:F,Movimientos!D:D,A84,Movimientos!E:E,"Bodega Central"))</f>
        <v/>
      </c>
      <c r="F84" s="6">
        <f>IF(A84="","",SUMIFS(Movimientos!F:F,Movimientos!D:D,A84,Movimientos!E:E,"Bodega Transitoria Cocina"))</f>
        <v/>
      </c>
      <c r="G84" s="6">
        <f>IF(A84="","",SUMIFS(Movimientos!F:F,Movimientos!D:D,A84,Movimientos!E:E,"Bodega Transitoria Bar"))</f>
        <v/>
      </c>
      <c r="H84" s="6">
        <f>IF(A84="","",Productos!F84)</f>
        <v/>
      </c>
      <c r="I84" s="6">
        <f>IF(A84="","",IF(D84&lt;=0,"Sin stock",IF(D84&lt;=H84,"Bajo mínimo","OK")))</f>
        <v/>
      </c>
      <c r="J84" s="6">
        <f>IF(A84="","",MAX(H84*2-D84,0))</f>
        <v/>
      </c>
    </row>
    <row r="85">
      <c r="A85" s="6">
        <f>IF(Productos!A85="","",Productos!A85)</f>
        <v/>
      </c>
      <c r="B85" s="6">
        <f>IF(A85="","",Productos!B85)</f>
        <v/>
      </c>
      <c r="C85" s="6">
        <f>IF(A85="","",Productos!E85)</f>
        <v/>
      </c>
      <c r="D85" s="6">
        <f>IF(A85="","",SUMIFS(Movimientos!F:F,Movimientos!D:D,A85))</f>
        <v/>
      </c>
      <c r="E85" s="6">
        <f>IF(A85="","",SUMIFS(Movimientos!F:F,Movimientos!D:D,A85,Movimientos!E:E,"Bodega Central"))</f>
        <v/>
      </c>
      <c r="F85" s="6">
        <f>IF(A85="","",SUMIFS(Movimientos!F:F,Movimientos!D:D,A85,Movimientos!E:E,"Bodega Transitoria Cocina"))</f>
        <v/>
      </c>
      <c r="G85" s="6">
        <f>IF(A85="","",SUMIFS(Movimientos!F:F,Movimientos!D:D,A85,Movimientos!E:E,"Bodega Transitoria Bar"))</f>
        <v/>
      </c>
      <c r="H85" s="6">
        <f>IF(A85="","",Productos!F85)</f>
        <v/>
      </c>
      <c r="I85" s="6">
        <f>IF(A85="","",IF(D85&lt;=0,"Sin stock",IF(D85&lt;=H85,"Bajo mínimo","OK")))</f>
        <v/>
      </c>
      <c r="J85" s="6">
        <f>IF(A85="","",MAX(H85*2-D85,0))</f>
        <v/>
      </c>
    </row>
    <row r="86">
      <c r="A86" s="6">
        <f>IF(Productos!A86="","",Productos!A86)</f>
        <v/>
      </c>
      <c r="B86" s="6">
        <f>IF(A86="","",Productos!B86)</f>
        <v/>
      </c>
      <c r="C86" s="6">
        <f>IF(A86="","",Productos!E86)</f>
        <v/>
      </c>
      <c r="D86" s="6">
        <f>IF(A86="","",SUMIFS(Movimientos!F:F,Movimientos!D:D,A86))</f>
        <v/>
      </c>
      <c r="E86" s="6">
        <f>IF(A86="","",SUMIFS(Movimientos!F:F,Movimientos!D:D,A86,Movimientos!E:E,"Bodega Central"))</f>
        <v/>
      </c>
      <c r="F86" s="6">
        <f>IF(A86="","",SUMIFS(Movimientos!F:F,Movimientos!D:D,A86,Movimientos!E:E,"Bodega Transitoria Cocina"))</f>
        <v/>
      </c>
      <c r="G86" s="6">
        <f>IF(A86="","",SUMIFS(Movimientos!F:F,Movimientos!D:D,A86,Movimientos!E:E,"Bodega Transitoria Bar"))</f>
        <v/>
      </c>
      <c r="H86" s="6">
        <f>IF(A86="","",Productos!F86)</f>
        <v/>
      </c>
      <c r="I86" s="6">
        <f>IF(A86="","",IF(D86&lt;=0,"Sin stock",IF(D86&lt;=H86,"Bajo mínimo","OK")))</f>
        <v/>
      </c>
      <c r="J86" s="6">
        <f>IF(A86="","",MAX(H86*2-D86,0))</f>
        <v/>
      </c>
    </row>
    <row r="87">
      <c r="A87" s="6">
        <f>IF(Productos!A87="","",Productos!A87)</f>
        <v/>
      </c>
      <c r="B87" s="6">
        <f>IF(A87="","",Productos!B87)</f>
        <v/>
      </c>
      <c r="C87" s="6">
        <f>IF(A87="","",Productos!E87)</f>
        <v/>
      </c>
      <c r="D87" s="6">
        <f>IF(A87="","",SUMIFS(Movimientos!F:F,Movimientos!D:D,A87))</f>
        <v/>
      </c>
      <c r="E87" s="6">
        <f>IF(A87="","",SUMIFS(Movimientos!F:F,Movimientos!D:D,A87,Movimientos!E:E,"Bodega Central"))</f>
        <v/>
      </c>
      <c r="F87" s="6">
        <f>IF(A87="","",SUMIFS(Movimientos!F:F,Movimientos!D:D,A87,Movimientos!E:E,"Bodega Transitoria Cocina"))</f>
        <v/>
      </c>
      <c r="G87" s="6">
        <f>IF(A87="","",SUMIFS(Movimientos!F:F,Movimientos!D:D,A87,Movimientos!E:E,"Bodega Transitoria Bar"))</f>
        <v/>
      </c>
      <c r="H87" s="6">
        <f>IF(A87="","",Productos!F87)</f>
        <v/>
      </c>
      <c r="I87" s="6">
        <f>IF(A87="","",IF(D87&lt;=0,"Sin stock",IF(D87&lt;=H87,"Bajo mínimo","OK")))</f>
        <v/>
      </c>
      <c r="J87" s="6">
        <f>IF(A87="","",MAX(H87*2-D87,0))</f>
        <v/>
      </c>
    </row>
    <row r="88">
      <c r="A88" s="6">
        <f>IF(Productos!A88="","",Productos!A88)</f>
        <v/>
      </c>
      <c r="B88" s="6">
        <f>IF(A88="","",Productos!B88)</f>
        <v/>
      </c>
      <c r="C88" s="6">
        <f>IF(A88="","",Productos!E88)</f>
        <v/>
      </c>
      <c r="D88" s="6">
        <f>IF(A88="","",SUMIFS(Movimientos!F:F,Movimientos!D:D,A88))</f>
        <v/>
      </c>
      <c r="E88" s="6">
        <f>IF(A88="","",SUMIFS(Movimientos!F:F,Movimientos!D:D,A88,Movimientos!E:E,"Bodega Central"))</f>
        <v/>
      </c>
      <c r="F88" s="6">
        <f>IF(A88="","",SUMIFS(Movimientos!F:F,Movimientos!D:D,A88,Movimientos!E:E,"Bodega Transitoria Cocina"))</f>
        <v/>
      </c>
      <c r="G88" s="6">
        <f>IF(A88="","",SUMIFS(Movimientos!F:F,Movimientos!D:D,A88,Movimientos!E:E,"Bodega Transitoria Bar"))</f>
        <v/>
      </c>
      <c r="H88" s="6">
        <f>IF(A88="","",Productos!F88)</f>
        <v/>
      </c>
      <c r="I88" s="6">
        <f>IF(A88="","",IF(D88&lt;=0,"Sin stock",IF(D88&lt;=H88,"Bajo mínimo","OK")))</f>
        <v/>
      </c>
      <c r="J88" s="6">
        <f>IF(A88="","",MAX(H88*2-D88,0))</f>
        <v/>
      </c>
    </row>
    <row r="89">
      <c r="A89" s="6">
        <f>IF(Productos!A89="","",Productos!A89)</f>
        <v/>
      </c>
      <c r="B89" s="6">
        <f>IF(A89="","",Productos!B89)</f>
        <v/>
      </c>
      <c r="C89" s="6">
        <f>IF(A89="","",Productos!E89)</f>
        <v/>
      </c>
      <c r="D89" s="6">
        <f>IF(A89="","",SUMIFS(Movimientos!F:F,Movimientos!D:D,A89))</f>
        <v/>
      </c>
      <c r="E89" s="6">
        <f>IF(A89="","",SUMIFS(Movimientos!F:F,Movimientos!D:D,A89,Movimientos!E:E,"Bodega Central"))</f>
        <v/>
      </c>
      <c r="F89" s="6">
        <f>IF(A89="","",SUMIFS(Movimientos!F:F,Movimientos!D:D,A89,Movimientos!E:E,"Bodega Transitoria Cocina"))</f>
        <v/>
      </c>
      <c r="G89" s="6">
        <f>IF(A89="","",SUMIFS(Movimientos!F:F,Movimientos!D:D,A89,Movimientos!E:E,"Bodega Transitoria Bar"))</f>
        <v/>
      </c>
      <c r="H89" s="6">
        <f>IF(A89="","",Productos!F89)</f>
        <v/>
      </c>
      <c r="I89" s="6">
        <f>IF(A89="","",IF(D89&lt;=0,"Sin stock",IF(D89&lt;=H89,"Bajo mínimo","OK")))</f>
        <v/>
      </c>
      <c r="J89" s="6">
        <f>IF(A89="","",MAX(H89*2-D89,0))</f>
        <v/>
      </c>
    </row>
    <row r="90">
      <c r="A90" s="6">
        <f>IF(Productos!A90="","",Productos!A90)</f>
        <v/>
      </c>
      <c r="B90" s="6">
        <f>IF(A90="","",Productos!B90)</f>
        <v/>
      </c>
      <c r="C90" s="6">
        <f>IF(A90="","",Productos!E90)</f>
        <v/>
      </c>
      <c r="D90" s="6">
        <f>IF(A90="","",SUMIFS(Movimientos!F:F,Movimientos!D:D,A90))</f>
        <v/>
      </c>
      <c r="E90" s="6">
        <f>IF(A90="","",SUMIFS(Movimientos!F:F,Movimientos!D:D,A90,Movimientos!E:E,"Bodega Central"))</f>
        <v/>
      </c>
      <c r="F90" s="6">
        <f>IF(A90="","",SUMIFS(Movimientos!F:F,Movimientos!D:D,A90,Movimientos!E:E,"Bodega Transitoria Cocina"))</f>
        <v/>
      </c>
      <c r="G90" s="6">
        <f>IF(A90="","",SUMIFS(Movimientos!F:F,Movimientos!D:D,A90,Movimientos!E:E,"Bodega Transitoria Bar"))</f>
        <v/>
      </c>
      <c r="H90" s="6">
        <f>IF(A90="","",Productos!F90)</f>
        <v/>
      </c>
      <c r="I90" s="6">
        <f>IF(A90="","",IF(D90&lt;=0,"Sin stock",IF(D90&lt;=H90,"Bajo mínimo","OK")))</f>
        <v/>
      </c>
      <c r="J90" s="6">
        <f>IF(A90="","",MAX(H90*2-D90,0))</f>
        <v/>
      </c>
    </row>
    <row r="91">
      <c r="A91" s="6">
        <f>IF(Productos!A91="","",Productos!A91)</f>
        <v/>
      </c>
      <c r="B91" s="6">
        <f>IF(A91="","",Productos!B91)</f>
        <v/>
      </c>
      <c r="C91" s="6">
        <f>IF(A91="","",Productos!E91)</f>
        <v/>
      </c>
      <c r="D91" s="6">
        <f>IF(A91="","",SUMIFS(Movimientos!F:F,Movimientos!D:D,A91))</f>
        <v/>
      </c>
      <c r="E91" s="6">
        <f>IF(A91="","",SUMIFS(Movimientos!F:F,Movimientos!D:D,A91,Movimientos!E:E,"Bodega Central"))</f>
        <v/>
      </c>
      <c r="F91" s="6">
        <f>IF(A91="","",SUMIFS(Movimientos!F:F,Movimientos!D:D,A91,Movimientos!E:E,"Bodega Transitoria Cocina"))</f>
        <v/>
      </c>
      <c r="G91" s="6">
        <f>IF(A91="","",SUMIFS(Movimientos!F:F,Movimientos!D:D,A91,Movimientos!E:E,"Bodega Transitoria Bar"))</f>
        <v/>
      </c>
      <c r="H91" s="6">
        <f>IF(A91="","",Productos!F91)</f>
        <v/>
      </c>
      <c r="I91" s="6">
        <f>IF(A91="","",IF(D91&lt;=0,"Sin stock",IF(D91&lt;=H91,"Bajo mínimo","OK")))</f>
        <v/>
      </c>
      <c r="J91" s="6">
        <f>IF(A91="","",MAX(H91*2-D91,0))</f>
        <v/>
      </c>
    </row>
    <row r="92">
      <c r="A92" s="6">
        <f>IF(Productos!A92="","",Productos!A92)</f>
        <v/>
      </c>
      <c r="B92" s="6">
        <f>IF(A92="","",Productos!B92)</f>
        <v/>
      </c>
      <c r="C92" s="6">
        <f>IF(A92="","",Productos!E92)</f>
        <v/>
      </c>
      <c r="D92" s="6">
        <f>IF(A92="","",SUMIFS(Movimientos!F:F,Movimientos!D:D,A92))</f>
        <v/>
      </c>
      <c r="E92" s="6">
        <f>IF(A92="","",SUMIFS(Movimientos!F:F,Movimientos!D:D,A92,Movimientos!E:E,"Bodega Central"))</f>
        <v/>
      </c>
      <c r="F92" s="6">
        <f>IF(A92="","",SUMIFS(Movimientos!F:F,Movimientos!D:D,A92,Movimientos!E:E,"Bodega Transitoria Cocina"))</f>
        <v/>
      </c>
      <c r="G92" s="6">
        <f>IF(A92="","",SUMIFS(Movimientos!F:F,Movimientos!D:D,A92,Movimientos!E:E,"Bodega Transitoria Bar"))</f>
        <v/>
      </c>
      <c r="H92" s="6">
        <f>IF(A92="","",Productos!F92)</f>
        <v/>
      </c>
      <c r="I92" s="6">
        <f>IF(A92="","",IF(D92&lt;=0,"Sin stock",IF(D92&lt;=H92,"Bajo mínimo","OK")))</f>
        <v/>
      </c>
      <c r="J92" s="6">
        <f>IF(A92="","",MAX(H92*2-D92,0))</f>
        <v/>
      </c>
    </row>
    <row r="93">
      <c r="A93" s="6">
        <f>IF(Productos!A93="","",Productos!A93)</f>
        <v/>
      </c>
      <c r="B93" s="6">
        <f>IF(A93="","",Productos!B93)</f>
        <v/>
      </c>
      <c r="C93" s="6">
        <f>IF(A93="","",Productos!E93)</f>
        <v/>
      </c>
      <c r="D93" s="6">
        <f>IF(A93="","",SUMIFS(Movimientos!F:F,Movimientos!D:D,A93))</f>
        <v/>
      </c>
      <c r="E93" s="6">
        <f>IF(A93="","",SUMIFS(Movimientos!F:F,Movimientos!D:D,A93,Movimientos!E:E,"Bodega Central"))</f>
        <v/>
      </c>
      <c r="F93" s="6">
        <f>IF(A93="","",SUMIFS(Movimientos!F:F,Movimientos!D:D,A93,Movimientos!E:E,"Bodega Transitoria Cocina"))</f>
        <v/>
      </c>
      <c r="G93" s="6">
        <f>IF(A93="","",SUMIFS(Movimientos!F:F,Movimientos!D:D,A93,Movimientos!E:E,"Bodega Transitoria Bar"))</f>
        <v/>
      </c>
      <c r="H93" s="6">
        <f>IF(A93="","",Productos!F93)</f>
        <v/>
      </c>
      <c r="I93" s="6">
        <f>IF(A93="","",IF(D93&lt;=0,"Sin stock",IF(D93&lt;=H93,"Bajo mínimo","OK")))</f>
        <v/>
      </c>
      <c r="J93" s="6">
        <f>IF(A93="","",MAX(H93*2-D93,0))</f>
        <v/>
      </c>
    </row>
    <row r="94">
      <c r="A94" s="6">
        <f>IF(Productos!A94="","",Productos!A94)</f>
        <v/>
      </c>
      <c r="B94" s="6">
        <f>IF(A94="","",Productos!B94)</f>
        <v/>
      </c>
      <c r="C94" s="6">
        <f>IF(A94="","",Productos!E94)</f>
        <v/>
      </c>
      <c r="D94" s="6">
        <f>IF(A94="","",SUMIFS(Movimientos!F:F,Movimientos!D:D,A94))</f>
        <v/>
      </c>
      <c r="E94" s="6">
        <f>IF(A94="","",SUMIFS(Movimientos!F:F,Movimientos!D:D,A94,Movimientos!E:E,"Bodega Central"))</f>
        <v/>
      </c>
      <c r="F94" s="6">
        <f>IF(A94="","",SUMIFS(Movimientos!F:F,Movimientos!D:D,A94,Movimientos!E:E,"Bodega Transitoria Cocina"))</f>
        <v/>
      </c>
      <c r="G94" s="6">
        <f>IF(A94="","",SUMIFS(Movimientos!F:F,Movimientos!D:D,A94,Movimientos!E:E,"Bodega Transitoria Bar"))</f>
        <v/>
      </c>
      <c r="H94" s="6">
        <f>IF(A94="","",Productos!F94)</f>
        <v/>
      </c>
      <c r="I94" s="6">
        <f>IF(A94="","",IF(D94&lt;=0,"Sin stock",IF(D94&lt;=H94,"Bajo mínimo","OK")))</f>
        <v/>
      </c>
      <c r="J94" s="6">
        <f>IF(A94="","",MAX(H94*2-D94,0))</f>
        <v/>
      </c>
    </row>
    <row r="95">
      <c r="A95" s="6">
        <f>IF(Productos!A95="","",Productos!A95)</f>
        <v/>
      </c>
      <c r="B95" s="6">
        <f>IF(A95="","",Productos!B95)</f>
        <v/>
      </c>
      <c r="C95" s="6">
        <f>IF(A95="","",Productos!E95)</f>
        <v/>
      </c>
      <c r="D95" s="6">
        <f>IF(A95="","",SUMIFS(Movimientos!F:F,Movimientos!D:D,A95))</f>
        <v/>
      </c>
      <c r="E95" s="6">
        <f>IF(A95="","",SUMIFS(Movimientos!F:F,Movimientos!D:D,A95,Movimientos!E:E,"Bodega Central"))</f>
        <v/>
      </c>
      <c r="F95" s="6">
        <f>IF(A95="","",SUMIFS(Movimientos!F:F,Movimientos!D:D,A95,Movimientos!E:E,"Bodega Transitoria Cocina"))</f>
        <v/>
      </c>
      <c r="G95" s="6">
        <f>IF(A95="","",SUMIFS(Movimientos!F:F,Movimientos!D:D,A95,Movimientos!E:E,"Bodega Transitoria Bar"))</f>
        <v/>
      </c>
      <c r="H95" s="6">
        <f>IF(A95="","",Productos!F95)</f>
        <v/>
      </c>
      <c r="I95" s="6">
        <f>IF(A95="","",IF(D95&lt;=0,"Sin stock",IF(D95&lt;=H95,"Bajo mínimo","OK")))</f>
        <v/>
      </c>
      <c r="J95" s="6">
        <f>IF(A95="","",MAX(H95*2-D95,0))</f>
        <v/>
      </c>
    </row>
    <row r="96">
      <c r="A96" s="6">
        <f>IF(Productos!A96="","",Productos!A96)</f>
        <v/>
      </c>
      <c r="B96" s="6">
        <f>IF(A96="","",Productos!B96)</f>
        <v/>
      </c>
      <c r="C96" s="6">
        <f>IF(A96="","",Productos!E96)</f>
        <v/>
      </c>
      <c r="D96" s="6">
        <f>IF(A96="","",SUMIFS(Movimientos!F:F,Movimientos!D:D,A96))</f>
        <v/>
      </c>
      <c r="E96" s="6">
        <f>IF(A96="","",SUMIFS(Movimientos!F:F,Movimientos!D:D,A96,Movimientos!E:E,"Bodega Central"))</f>
        <v/>
      </c>
      <c r="F96" s="6">
        <f>IF(A96="","",SUMIFS(Movimientos!F:F,Movimientos!D:D,A96,Movimientos!E:E,"Bodega Transitoria Cocina"))</f>
        <v/>
      </c>
      <c r="G96" s="6">
        <f>IF(A96="","",SUMIFS(Movimientos!F:F,Movimientos!D:D,A96,Movimientos!E:E,"Bodega Transitoria Bar"))</f>
        <v/>
      </c>
      <c r="H96" s="6">
        <f>IF(A96="","",Productos!F96)</f>
        <v/>
      </c>
      <c r="I96" s="6">
        <f>IF(A96="","",IF(D96&lt;=0,"Sin stock",IF(D96&lt;=H96,"Bajo mínimo","OK")))</f>
        <v/>
      </c>
      <c r="J96" s="6">
        <f>IF(A96="","",MAX(H96*2-D96,0))</f>
        <v/>
      </c>
    </row>
    <row r="97">
      <c r="A97" s="6">
        <f>IF(Productos!A97="","",Productos!A97)</f>
        <v/>
      </c>
      <c r="B97" s="6">
        <f>IF(A97="","",Productos!B97)</f>
        <v/>
      </c>
      <c r="C97" s="6">
        <f>IF(A97="","",Productos!E97)</f>
        <v/>
      </c>
      <c r="D97" s="6">
        <f>IF(A97="","",SUMIFS(Movimientos!F:F,Movimientos!D:D,A97))</f>
        <v/>
      </c>
      <c r="E97" s="6">
        <f>IF(A97="","",SUMIFS(Movimientos!F:F,Movimientos!D:D,A97,Movimientos!E:E,"Bodega Central"))</f>
        <v/>
      </c>
      <c r="F97" s="6">
        <f>IF(A97="","",SUMIFS(Movimientos!F:F,Movimientos!D:D,A97,Movimientos!E:E,"Bodega Transitoria Cocina"))</f>
        <v/>
      </c>
      <c r="G97" s="6">
        <f>IF(A97="","",SUMIFS(Movimientos!F:F,Movimientos!D:D,A97,Movimientos!E:E,"Bodega Transitoria Bar"))</f>
        <v/>
      </c>
      <c r="H97" s="6">
        <f>IF(A97="","",Productos!F97)</f>
        <v/>
      </c>
      <c r="I97" s="6">
        <f>IF(A97="","",IF(D97&lt;=0,"Sin stock",IF(D97&lt;=H97,"Bajo mínimo","OK")))</f>
        <v/>
      </c>
      <c r="J97" s="6">
        <f>IF(A97="","",MAX(H97*2-D97,0))</f>
        <v/>
      </c>
    </row>
    <row r="98">
      <c r="A98" s="6">
        <f>IF(Productos!A98="","",Productos!A98)</f>
        <v/>
      </c>
      <c r="B98" s="6">
        <f>IF(A98="","",Productos!B98)</f>
        <v/>
      </c>
      <c r="C98" s="6">
        <f>IF(A98="","",Productos!E98)</f>
        <v/>
      </c>
      <c r="D98" s="6">
        <f>IF(A98="","",SUMIFS(Movimientos!F:F,Movimientos!D:D,A98))</f>
        <v/>
      </c>
      <c r="E98" s="6">
        <f>IF(A98="","",SUMIFS(Movimientos!F:F,Movimientos!D:D,A98,Movimientos!E:E,"Bodega Central"))</f>
        <v/>
      </c>
      <c r="F98" s="6">
        <f>IF(A98="","",SUMIFS(Movimientos!F:F,Movimientos!D:D,A98,Movimientos!E:E,"Bodega Transitoria Cocina"))</f>
        <v/>
      </c>
      <c r="G98" s="6">
        <f>IF(A98="","",SUMIFS(Movimientos!F:F,Movimientos!D:D,A98,Movimientos!E:E,"Bodega Transitoria Bar"))</f>
        <v/>
      </c>
      <c r="H98" s="6">
        <f>IF(A98="","",Productos!F98)</f>
        <v/>
      </c>
      <c r="I98" s="6">
        <f>IF(A98="","",IF(D98&lt;=0,"Sin stock",IF(D98&lt;=H98,"Bajo mínimo","OK")))</f>
        <v/>
      </c>
      <c r="J98" s="6">
        <f>IF(A98="","",MAX(H98*2-D98,0))</f>
        <v/>
      </c>
    </row>
    <row r="99">
      <c r="A99" s="6">
        <f>IF(Productos!A99="","",Productos!A99)</f>
        <v/>
      </c>
      <c r="B99" s="6">
        <f>IF(A99="","",Productos!B99)</f>
        <v/>
      </c>
      <c r="C99" s="6">
        <f>IF(A99="","",Productos!E99)</f>
        <v/>
      </c>
      <c r="D99" s="6">
        <f>IF(A99="","",SUMIFS(Movimientos!F:F,Movimientos!D:D,A99))</f>
        <v/>
      </c>
      <c r="E99" s="6">
        <f>IF(A99="","",SUMIFS(Movimientos!F:F,Movimientos!D:D,A99,Movimientos!E:E,"Bodega Central"))</f>
        <v/>
      </c>
      <c r="F99" s="6">
        <f>IF(A99="","",SUMIFS(Movimientos!F:F,Movimientos!D:D,A99,Movimientos!E:E,"Bodega Transitoria Cocina"))</f>
        <v/>
      </c>
      <c r="G99" s="6">
        <f>IF(A99="","",SUMIFS(Movimientos!F:F,Movimientos!D:D,A99,Movimientos!E:E,"Bodega Transitoria Bar"))</f>
        <v/>
      </c>
      <c r="H99" s="6">
        <f>IF(A99="","",Productos!F99)</f>
        <v/>
      </c>
      <c r="I99" s="6">
        <f>IF(A99="","",IF(D99&lt;=0,"Sin stock",IF(D99&lt;=H99,"Bajo mínimo","OK")))</f>
        <v/>
      </c>
      <c r="J99" s="6">
        <f>IF(A99="","",MAX(H99*2-D99,0))</f>
        <v/>
      </c>
    </row>
    <row r="100">
      <c r="A100" s="6">
        <f>IF(Productos!A100="","",Productos!A100)</f>
        <v/>
      </c>
      <c r="B100" s="6">
        <f>IF(A100="","",Productos!B100)</f>
        <v/>
      </c>
      <c r="C100" s="6">
        <f>IF(A100="","",Productos!E100)</f>
        <v/>
      </c>
      <c r="D100" s="6">
        <f>IF(A100="","",SUMIFS(Movimientos!F:F,Movimientos!D:D,A100))</f>
        <v/>
      </c>
      <c r="E100" s="6">
        <f>IF(A100="","",SUMIFS(Movimientos!F:F,Movimientos!D:D,A100,Movimientos!E:E,"Bodega Central"))</f>
        <v/>
      </c>
      <c r="F100" s="6">
        <f>IF(A100="","",SUMIFS(Movimientos!F:F,Movimientos!D:D,A100,Movimientos!E:E,"Bodega Transitoria Cocina"))</f>
        <v/>
      </c>
      <c r="G100" s="6">
        <f>IF(A100="","",SUMIFS(Movimientos!F:F,Movimientos!D:D,A100,Movimientos!E:E,"Bodega Transitoria Bar"))</f>
        <v/>
      </c>
      <c r="H100" s="6">
        <f>IF(A100="","",Productos!F100)</f>
        <v/>
      </c>
      <c r="I100" s="6">
        <f>IF(A100="","",IF(D100&lt;=0,"Sin stock",IF(D100&lt;=H100,"Bajo mínimo","OK")))</f>
        <v/>
      </c>
      <c r="J100" s="6">
        <f>IF(A100="","",MAX(H100*2-D100,0))</f>
        <v/>
      </c>
    </row>
    <row r="101">
      <c r="A101" s="6">
        <f>IF(Productos!A101="","",Productos!A101)</f>
        <v/>
      </c>
      <c r="B101" s="6">
        <f>IF(A101="","",Productos!B101)</f>
        <v/>
      </c>
      <c r="C101" s="6">
        <f>IF(A101="","",Productos!E101)</f>
        <v/>
      </c>
      <c r="D101" s="6">
        <f>IF(A101="","",SUMIFS(Movimientos!F:F,Movimientos!D:D,A101))</f>
        <v/>
      </c>
      <c r="E101" s="6">
        <f>IF(A101="","",SUMIFS(Movimientos!F:F,Movimientos!D:D,A101,Movimientos!E:E,"Bodega Central"))</f>
        <v/>
      </c>
      <c r="F101" s="6">
        <f>IF(A101="","",SUMIFS(Movimientos!F:F,Movimientos!D:D,A101,Movimientos!E:E,"Bodega Transitoria Cocina"))</f>
        <v/>
      </c>
      <c r="G101" s="6">
        <f>IF(A101="","",SUMIFS(Movimientos!F:F,Movimientos!D:D,A101,Movimientos!E:E,"Bodega Transitoria Bar"))</f>
        <v/>
      </c>
      <c r="H101" s="6">
        <f>IF(A101="","",Productos!F101)</f>
        <v/>
      </c>
      <c r="I101" s="6">
        <f>IF(A101="","",IF(D101&lt;=0,"Sin stock",IF(D101&lt;=H101,"Bajo mínimo","OK")))</f>
        <v/>
      </c>
      <c r="J101" s="6">
        <f>IF(A101="","",MAX(H101*2-D101,0))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7" t="inlineStr">
        <is>
          <t>Dashboard de inventario</t>
        </is>
      </c>
      <c r="B1" s="2" t="n"/>
    </row>
    <row r="2">
      <c r="A2" s="2" t="n"/>
      <c r="B2" s="2" t="n"/>
    </row>
    <row r="3">
      <c r="A3" s="8" t="inlineStr">
        <is>
          <t>Total productos</t>
        </is>
      </c>
      <c r="B3" s="5">
        <f>COUNTA(Productos!A:A)-1</f>
        <v/>
      </c>
    </row>
    <row r="4">
      <c r="A4" s="8" t="inlineStr">
        <is>
          <t>Valor inventario estimado</t>
        </is>
      </c>
      <c r="B4" s="5">
        <f>SUMPRODUCT(Movimientos!F:F,Movimientos!G:G)</f>
        <v/>
      </c>
    </row>
    <row r="5">
      <c r="A5" s="8" t="inlineStr">
        <is>
          <t>Productos bajo mínimo</t>
        </is>
      </c>
      <c r="B5" s="5">
        <f>COUNTIF(Stock_Actual!I:I,"Bajo mínimo")</f>
        <v/>
      </c>
    </row>
    <row r="6">
      <c r="A6" s="8" t="inlineStr">
        <is>
          <t>Productos sin stock</t>
        </is>
      </c>
      <c r="B6" s="5">
        <f>COUNTIF(Stock_Actual!I:I,"Sin stock")</f>
        <v/>
      </c>
    </row>
    <row r="7">
      <c r="A7" s="8" t="inlineStr">
        <is>
          <t>Movimientos registrados</t>
        </is>
      </c>
      <c r="B7" s="5">
        <f>COUNTA(Movimientos!A:A)-1</f>
        <v/>
      </c>
    </row>
    <row r="8">
      <c r="A8" s="2" t="n"/>
      <c r="B8" s="2" t="n"/>
    </row>
    <row r="9">
      <c r="A9" s="2" t="n"/>
      <c r="B9" s="2" t="n"/>
    </row>
    <row r="10">
      <c r="A10" s="9" t="inlineStr">
        <is>
          <t>Revisión diaria sugerida</t>
        </is>
      </c>
      <c r="B10" s="2" t="n"/>
    </row>
    <row r="11">
      <c r="A11" s="2" t="inlineStr">
        <is>
          <t>Revisar productos bajo mínimo antes del servicio.</t>
        </is>
      </c>
      <c r="B11" s="2" t="n"/>
    </row>
    <row r="12">
      <c r="A12" s="2" t="inlineStr">
        <is>
          <t>Registrar mermas el mismo día que ocurren.</t>
        </is>
      </c>
      <c r="B12" s="2" t="n"/>
    </row>
    <row r="13">
      <c r="A13" s="2" t="inlineStr">
        <is>
          <t>Cargar ventas de bar por receta al cierre de turno.</t>
        </is>
      </c>
      <c r="B13" s="2" t="n"/>
    </row>
    <row r="14">
      <c r="A14" s="2" t="inlineStr">
        <is>
          <t>Solicitar reposición a bodega central cuando el pedido sugerido sea mayor a cero.</t>
        </is>
      </c>
      <c r="B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2026-10-13T19:30:13Z</dcterms:created>
  <dcterms:modified xmlns:dcterms="http://purl.org/dc/terms/" xmlns:xsi="http://www.w3.org/2001/XMLSchema-instance" xsi:type="dcterms:W3CDTF">2026-10-13T19:30:13Z</dcterms:modified>
</cp:coreProperties>
</file>